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tTuanNguyen\Downloads\"/>
    </mc:Choice>
  </mc:AlternateContent>
  <xr:revisionPtr revIDLastSave="0" documentId="8_{A7E4831F-462E-4A8B-8F50-E6FD674ADCF2}" xr6:coauthVersionLast="47" xr6:coauthVersionMax="47" xr10:uidLastSave="{00000000-0000-0000-0000-000000000000}"/>
  <bookViews>
    <workbookView xWindow="-19310" yWindow="-1380" windowWidth="19420" windowHeight="11500" activeTab="1" xr2:uid="{9ABAF30A-4A82-434B-9303-2ADE46DBEBF3}"/>
  </bookViews>
  <sheets>
    <sheet name="Pico Quotation" sheetId="13" r:id="rId1"/>
    <sheet name="Budget" sheetId="11" r:id="rId2"/>
    <sheet name="Companies Pitched" sheetId="4" r:id="rId3"/>
    <sheet name="Milano ActualBDG" sheetId="8" r:id="rId4"/>
    <sheet name="Ark1" sheetId="12" r:id="rId5"/>
    <sheet name="Cost Milano " sheetId="7" r:id="rId6"/>
    <sheet name="Company Long List " sheetId="5" r:id="rId7"/>
    <sheet name="Option 1_90 m2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3" l="1"/>
  <c r="E16" i="13"/>
  <c r="E61" i="13"/>
  <c r="E53" i="13"/>
  <c r="E64" i="13"/>
  <c r="F64" i="13"/>
  <c r="F61" i="13"/>
  <c r="E14" i="13"/>
  <c r="E37" i="13"/>
  <c r="E39" i="13"/>
  <c r="G61" i="13"/>
  <c r="G39" i="13"/>
  <c r="M7" i="8"/>
  <c r="J16" i="8"/>
  <c r="H16" i="8"/>
  <c r="D16" i="8"/>
  <c r="D9" i="11"/>
  <c r="D8" i="11"/>
  <c r="D7" i="11"/>
  <c r="D6" i="11"/>
  <c r="E15" i="1"/>
  <c r="D15" i="1"/>
  <c r="D25" i="11"/>
  <c r="D10" i="11"/>
  <c r="D14" i="11"/>
  <c r="D15" i="11"/>
  <c r="D28" i="11"/>
  <c r="H20" i="8"/>
  <c r="D20" i="8"/>
  <c r="J15" i="8"/>
  <c r="J23" i="8"/>
  <c r="H15" i="8"/>
  <c r="H23" i="8"/>
  <c r="F15" i="8"/>
  <c r="F23" i="8"/>
  <c r="D15" i="8"/>
  <c r="D23" i="8"/>
  <c r="J12" i="8"/>
  <c r="F12" i="8"/>
  <c r="J11" i="8"/>
  <c r="F11" i="8"/>
  <c r="J10" i="8"/>
  <c r="F10" i="8"/>
  <c r="R9" i="8"/>
  <c r="N9" i="8"/>
  <c r="M9" i="8"/>
  <c r="H9" i="8"/>
  <c r="J9" i="8"/>
  <c r="D9" i="8"/>
  <c r="F9" i="8"/>
  <c r="R8" i="8"/>
  <c r="N8" i="8"/>
  <c r="M8" i="8"/>
  <c r="J8" i="8"/>
  <c r="F8" i="8"/>
  <c r="R7" i="8"/>
  <c r="R11" i="8"/>
  <c r="N7" i="8"/>
  <c r="N11" i="8"/>
  <c r="M11" i="8"/>
  <c r="H19" i="8"/>
  <c r="J19" i="8"/>
  <c r="J22" i="8"/>
  <c r="J24" i="8"/>
  <c r="H7" i="8"/>
  <c r="J7" i="8"/>
  <c r="D7" i="8"/>
  <c r="F7" i="8"/>
  <c r="H6" i="8"/>
  <c r="D6" i="8"/>
  <c r="G24" i="1"/>
  <c r="A4" i="1"/>
  <c r="A5" i="1"/>
  <c r="A6" i="1"/>
  <c r="A7" i="1"/>
  <c r="A8" i="1"/>
  <c r="E19" i="1"/>
  <c r="D19" i="1"/>
  <c r="D5" i="1"/>
  <c r="D6" i="1"/>
  <c r="D7" i="1"/>
  <c r="D8" i="1"/>
  <c r="E8" i="1"/>
  <c r="E7" i="1"/>
  <c r="E6" i="1"/>
  <c r="E5" i="1"/>
  <c r="E4" i="1"/>
  <c r="D4" i="1"/>
  <c r="C10" i="1"/>
  <c r="E10" i="1"/>
  <c r="D10" i="1"/>
  <c r="D17" i="1"/>
  <c r="D13" i="8"/>
  <c r="F6" i="8"/>
  <c r="F13" i="8"/>
  <c r="F16" i="8"/>
  <c r="H13" i="8"/>
  <c r="J6" i="8"/>
  <c r="J13" i="8"/>
  <c r="D19" i="8"/>
  <c r="E17" i="1"/>
  <c r="D22" i="8"/>
  <c r="D24" i="8"/>
  <c r="D26" i="8"/>
  <c r="F19" i="8"/>
  <c r="F22" i="8"/>
  <c r="F24" i="8"/>
  <c r="F26" i="8"/>
  <c r="H22" i="8"/>
  <c r="H24" i="8"/>
  <c r="H26" i="8"/>
  <c r="J2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tc={ACADB44F-CEC0-45DF-BEB5-EEACF8D88321}</author>
  </authors>
  <commentList>
    <comment ref="C2" authorId="0" shapeId="0" xr:uid="{ACADB44F-CEC0-45DF-BEB5-EEACF8D88321}">
      <text>
        <t>[Threaded comment]
Your version of Excel allows you to read this threaded comment; however, any edits to it will get removed if the file is opened in a newer version of Excel. Learn more: https://go.microsoft.com/fwlink/?linkid=870924
Comment:
    Hello @Karin Greve-Isdahl  I put Pico quotation on this sheet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 Tien Le</author>
    <author>tc={A22EC3B4-758F-4F61-ADB3-1908F2F4CC06}</author>
  </authors>
  <commentList>
    <comment ref="E4" authorId="0" shapeId="0" xr:uid="{2368051A-A22E-4EE7-AAAB-2F4458723801}">
      <text>
        <r>
          <rPr>
            <sz val="11"/>
            <color theme="1"/>
            <rFont val="Aptos Narrow"/>
            <family val="2"/>
            <scheme val="minor"/>
          </rPr>
          <t>Hai Tien Le:
Sent email 4 November</t>
        </r>
      </text>
    </comment>
    <comment ref="E8" authorId="0" shapeId="0" xr:uid="{15A2BE0D-D464-4CBE-A178-35306D68F37F}">
      <text>
        <r>
          <rPr>
            <sz val="11"/>
            <color theme="1"/>
            <rFont val="Aptos Narrow"/>
            <family val="2"/>
            <scheme val="minor"/>
          </rPr>
          <t>Hai Tien Le:
Sent email 4 November</t>
        </r>
      </text>
    </comment>
    <comment ref="E23" authorId="1" shapeId="0" xr:uid="{A22EC3B4-758F-4F61-ADB3-1908F2F4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email</t>
      </text>
    </comment>
    <comment ref="E27" authorId="0" shapeId="0" xr:uid="{4A0E5E15-E086-4B14-BBAD-1F595636D35D}">
      <text>
        <r>
          <rPr>
            <sz val="11"/>
            <color theme="1"/>
            <rFont val="Aptos Narrow"/>
            <family val="2"/>
            <scheme val="minor"/>
          </rPr>
          <t>Hai Tien Le:
Sent email 4 November</t>
        </r>
      </text>
    </comment>
    <comment ref="E59" authorId="0" shapeId="0" xr:uid="{AF4A3937-E28D-49AE-810E-8989212B1B42}">
      <text>
        <r>
          <rPr>
            <sz val="11"/>
            <color theme="1"/>
            <rFont val="Aptos Narrow"/>
            <family val="2"/>
            <scheme val="minor"/>
          </rPr>
          <t>Hai Tien Le:
Sent email 4 November</t>
        </r>
      </text>
    </comment>
    <comment ref="E68" authorId="0" shapeId="0" xr:uid="{AD79910B-14A3-4AA2-9C8C-AB5BF5F17C35}">
      <text>
        <r>
          <rPr>
            <sz val="11"/>
            <color theme="1"/>
            <rFont val="Aptos Narrow"/>
            <family val="2"/>
            <scheme val="minor"/>
          </rPr>
          <t>Hai Tien Le:
Sent email 4 November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 Tien Le</author>
  </authors>
  <commentList>
    <comment ref="B1" authorId="0" shapeId="0" xr:uid="{B2E62BE0-231A-448F-BB4B-144D1C2A2CD0}">
      <text>
        <r>
          <rPr>
            <b/>
            <sz val="9"/>
            <color indexed="81"/>
            <rFont val="Tahoma"/>
            <family val="2"/>
          </rPr>
          <t>Hai Tien Le:</t>
        </r>
        <r>
          <rPr>
            <sz val="9"/>
            <color indexed="81"/>
            <rFont val="Tahoma"/>
            <family val="2"/>
          </rPr>
          <t xml:space="preserve">
email from detext kong 30.10.2025
</t>
        </r>
      </text>
    </comment>
    <comment ref="B14" authorId="0" shapeId="0" xr:uid="{E681BA9F-3815-4D7C-95E9-DFCCBF17BBE0}">
      <text>
        <r>
          <rPr>
            <b/>
            <sz val="9"/>
            <color indexed="81"/>
            <rFont val="Tahoma"/>
            <family val="2"/>
          </rPr>
          <t>Hai Tien Le:</t>
        </r>
        <r>
          <rPr>
            <sz val="9"/>
            <color indexed="81"/>
            <rFont val="Tahoma"/>
            <family val="2"/>
          </rPr>
          <t xml:space="preserve">
email from Emtiaz Sabbir dmgevents.com 13.10.2025</t>
        </r>
      </text>
    </comment>
  </commentList>
</comments>
</file>

<file path=xl/sharedStrings.xml><?xml version="1.0" encoding="utf-8"?>
<sst xmlns="http://schemas.openxmlformats.org/spreadsheetml/2006/main" count="586" uniqueCount="439">
  <si>
    <t>A</t>
  </si>
  <si>
    <t>Exchange rate</t>
  </si>
  <si>
    <t>Items</t>
  </si>
  <si>
    <t>Bat</t>
  </si>
  <si>
    <t>Pound</t>
  </si>
  <si>
    <t>NOK</t>
  </si>
  <si>
    <r>
      <t>Flooring</t>
    </r>
    <r>
      <rPr>
        <sz val="10"/>
        <color theme="1"/>
        <rFont val="Arial"/>
        <family val="2"/>
      </rPr>
      <t xml:space="preserve">                                                                                    </t>
    </r>
    <r>
      <rPr>
        <b/>
        <sz val="10"/>
        <color theme="1"/>
        <rFont val="Arial"/>
        <family val="2"/>
      </rPr>
      <t>95,000.00B</t>
    </r>
    <r>
      <rPr>
        <sz val="10"/>
        <color theme="1"/>
        <rFont val="Arial"/>
        <family val="2"/>
      </rPr>
      <t xml:space="preserve"> </t>
    </r>
  </si>
  <si>
    <r>
      <t>Structure</t>
    </r>
    <r>
      <rPr>
        <sz val="10"/>
        <color theme="1"/>
        <rFont val="Arial"/>
        <family val="2"/>
      </rPr>
      <t>    </t>
    </r>
  </si>
  <si>
    <r>
      <t>Signages &amp; Artwork</t>
    </r>
    <r>
      <rPr>
        <sz val="10"/>
        <color theme="1"/>
        <rFont val="Arial"/>
        <family val="2"/>
      </rPr>
      <t xml:space="preserve">                                                                   </t>
    </r>
  </si>
  <si>
    <r>
      <t>Furniture rental</t>
    </r>
    <r>
      <rPr>
        <sz val="10"/>
        <color theme="1"/>
        <rFont val="Arial"/>
        <family val="2"/>
      </rPr>
      <t xml:space="preserve">                                                                         </t>
    </r>
    <r>
      <rPr>
        <b/>
        <sz val="10"/>
        <color theme="1"/>
        <rFont val="Arial"/>
        <family val="2"/>
      </rPr>
      <t> </t>
    </r>
  </si>
  <si>
    <r>
      <t>Electrical fittings rental</t>
    </r>
    <r>
      <rPr>
        <sz val="10"/>
        <color theme="1"/>
        <rFont val="Arial"/>
        <family val="2"/>
      </rPr>
      <t xml:space="preserve">                                                               </t>
    </r>
  </si>
  <si>
    <t>Nok</t>
  </si>
  <si>
    <t>Spots</t>
  </si>
  <si>
    <t>Total possible Revenue</t>
  </si>
  <si>
    <t>Total excluding 7% VAT</t>
  </si>
  <si>
    <t>200-230</t>
  </si>
  <si>
    <t>3 to 5</t>
  </si>
  <si>
    <t>Standard stand 8X</t>
  </si>
  <si>
    <t>90-120</t>
  </si>
  <si>
    <t>6 to 9</t>
  </si>
  <si>
    <t>Logo &amp; Screen 8X</t>
  </si>
  <si>
    <t>B</t>
  </si>
  <si>
    <t>tot</t>
  </si>
  <si>
    <t>Total (A+B)</t>
  </si>
  <si>
    <t>C</t>
  </si>
  <si>
    <t>Pavillion contruction 90 sqm like Vietship</t>
  </si>
  <si>
    <t>Floor rental 90 sqm like Vietship</t>
  </si>
  <si>
    <t xml:space="preserve">£750 per sqm 90 m2  </t>
  </si>
  <si>
    <t>(£1,130 × number of exhibitors)</t>
  </si>
  <si>
    <t xml:space="preserve">Company </t>
  </si>
  <si>
    <t>Notes</t>
  </si>
  <si>
    <t xml:space="preserve">Notes Milano </t>
  </si>
  <si>
    <t>Geir Christian Helgesen</t>
  </si>
  <si>
    <t>gh@framo.no</t>
  </si>
  <si>
    <t>Large</t>
  </si>
  <si>
    <t>Framo AS</t>
  </si>
  <si>
    <t xml:space="preserve">Su Wern Teyo </t>
  </si>
  <si>
    <t>suwern.teyo@rystadenergy.com</t>
  </si>
  <si>
    <t>Rystad</t>
  </si>
  <si>
    <t>Asia Marketing</t>
  </si>
  <si>
    <t>Tobias Arns</t>
  </si>
  <si>
    <t>Tobias.Arns@akersolutions.com</t>
  </si>
  <si>
    <t>Visibility+side event</t>
  </si>
  <si>
    <t>Aker Solutions</t>
  </si>
  <si>
    <t>Marketing Manager</t>
  </si>
  <si>
    <t>ottar.kirkeberg@passer.no</t>
  </si>
  <si>
    <t>Standard</t>
  </si>
  <si>
    <t>Passer Marine AS</t>
  </si>
  <si>
    <t>Yngve Schrøder Tufteland</t>
  </si>
  <si>
    <t>yst@uac.no</t>
  </si>
  <si>
    <t>Umoe Advanced Composites:</t>
  </si>
  <si>
    <t xml:space="preserve">Sales Manager </t>
  </si>
  <si>
    <t>ECOnnect Energy</t>
  </si>
  <si>
    <t xml:space="preserve">Ann Helen Hystad </t>
  </si>
  <si>
    <t>ann.helen@kamos.no</t>
  </si>
  <si>
    <t>Karmsund  Maritime</t>
  </si>
  <si>
    <t xml:space="preserve">Trine Stolsnes </t>
  </si>
  <si>
    <t>trine.stolsnes@aize.io</t>
  </si>
  <si>
    <t>Aize AS</t>
  </si>
  <si>
    <t>Roar Hernes</t>
  </si>
  <si>
    <t>roar.hernes@tunable.com</t>
  </si>
  <si>
    <t>Tunable</t>
  </si>
  <si>
    <t>Business Development Manager</t>
  </si>
  <si>
    <t>Michele Zitti</t>
  </si>
  <si>
    <t>michele.zitti@yara.com</t>
  </si>
  <si>
    <t xml:space="preserve">Yara </t>
  </si>
  <si>
    <t>Director, Decarbonization and Sustainable Business Development</t>
  </si>
  <si>
    <t xml:space="preserve">Sverre Olden Mala </t>
  </si>
  <si>
    <t>somal@equinor.com lihje@equinor.com</t>
  </si>
  <si>
    <t>Equinor ASA</t>
  </si>
  <si>
    <t>Sharecat</t>
  </si>
  <si>
    <t>Tom.Haylock@sharecat.com</t>
  </si>
  <si>
    <t>Email (Contact)</t>
  </si>
  <si>
    <t>Choose stand package: 1) logo | 2) small stand | 3) large stand</t>
  </si>
  <si>
    <t>Company</t>
  </si>
  <si>
    <t>Job title</t>
  </si>
  <si>
    <t>Martin Nese</t>
  </si>
  <si>
    <t>martin.nese@cignus.com</t>
  </si>
  <si>
    <t>Logo &amp; screen partner</t>
  </si>
  <si>
    <t>Cignus Instruments AS</t>
  </si>
  <si>
    <t>CEO</t>
  </si>
  <si>
    <t xml:space="preserve">Tatiana Kuroki </t>
  </si>
  <si>
    <t>"tatiana.kuroki@viposolutions.com" &lt;tatiana.kuroki@viposolutions.com&gt;</t>
  </si>
  <si>
    <t xml:space="preserve">Large </t>
  </si>
  <si>
    <t>Vipo AS</t>
  </si>
  <si>
    <t> </t>
  </si>
  <si>
    <t>Cyient</t>
  </si>
  <si>
    <t>essie.amire@carrier.com</t>
  </si>
  <si>
    <t>Autronica Fire and Security AS</t>
  </si>
  <si>
    <t xml:space="preserve">Regional Manager - Global Project </t>
  </si>
  <si>
    <t>Erik Christian Bolstad</t>
  </si>
  <si>
    <t>erik.bolstad@hydrogenpro.com</t>
  </si>
  <si>
    <t>HydrogenPro</t>
  </si>
  <si>
    <t xml:space="preserve">Karin emal 12 noc </t>
  </si>
  <si>
    <t>Chiara Caccamo</t>
  </si>
  <si>
    <t>Chiara.Caccamo@sintef.no</t>
  </si>
  <si>
    <t>Sintef Energi AS</t>
  </si>
  <si>
    <t>Research Manager</t>
  </si>
  <si>
    <t>Terese Troy Prebensen</t>
  </si>
  <si>
    <t>terese@lca.no</t>
  </si>
  <si>
    <t>LCA AS</t>
  </si>
  <si>
    <t>CFO</t>
  </si>
  <si>
    <t xml:space="preserve"> Muhammad Ismail Shah mis@tcmda.com</t>
  </si>
  <si>
    <t> mis@tcmda.com</t>
  </si>
  <si>
    <t>Test Centre Mongstad DA</t>
  </si>
  <si>
    <t xml:space="preserve">karin email 12  nov </t>
  </si>
  <si>
    <t>Endre Stavseng </t>
  </si>
  <si>
    <t>Endre Stavseng estavseng@capturi.slb.com </t>
  </si>
  <si>
    <t xml:space="preserve">Tips from Aker </t>
  </si>
  <si>
    <t xml:space="preserve">Karin email 10th Nov </t>
  </si>
  <si>
    <t>Altera Infrastructure</t>
  </si>
  <si>
    <t>Stig.Botker@alterainfra.com</t>
  </si>
  <si>
    <t>Karin email 11</t>
  </si>
  <si>
    <t xml:space="preserve">Cognite </t>
  </si>
  <si>
    <t>ivar@eldenergy.com</t>
  </si>
  <si>
    <t>About us | EldEnergy</t>
  </si>
  <si>
    <t>Otechos</t>
  </si>
  <si>
    <t>tallak.bakken@otechos.com</t>
  </si>
  <si>
    <t xml:space="preserve">LNT Marine </t>
  </si>
  <si>
    <t>stein.foss@lntmarine.com</t>
  </si>
  <si>
    <t>Larvik Shipping</t>
  </si>
  <si>
    <t>Anders Tollevik &lt;anders@larvik-shipping.no&gt;</t>
  </si>
  <si>
    <t>Norconsult</t>
  </si>
  <si>
    <t>Annette.Hultin@norconsult.com</t>
  </si>
  <si>
    <t>Knut Erik Spilling</t>
  </si>
  <si>
    <t>kes@bpt.no</t>
  </si>
  <si>
    <t>Billington Process Technology AS (BPT)</t>
  </si>
  <si>
    <t xml:space="preserve">Hai sent email but they will focus on Europe </t>
  </si>
  <si>
    <t xml:space="preserve">Isabelle Oh </t>
  </si>
  <si>
    <t>Isabelle.Oh@dnv.com</t>
  </si>
  <si>
    <t xml:space="preserve">DNV Singapre </t>
  </si>
  <si>
    <t xml:space="preserve">No they want to be part on a side event but not booth. </t>
  </si>
  <si>
    <t>anders.melhus@varenergi.no</t>
  </si>
  <si>
    <t xml:space="preserve">Vår energi </t>
  </si>
  <si>
    <t xml:space="preserve">Own Pavilion: </t>
  </si>
  <si>
    <t xml:space="preserve">Yating Zhang </t>
  </si>
  <si>
    <t>yating.zhang@hoeghevi.com</t>
  </si>
  <si>
    <t xml:space="preserve">HoeghEvi </t>
  </si>
  <si>
    <t xml:space="preserve">will have their own pavilion </t>
  </si>
  <si>
    <t xml:space="preserve">Kongsberg Maretime </t>
  </si>
  <si>
    <t>Rune.Kristensen@nov.com</t>
  </si>
  <si>
    <t>NOV</t>
  </si>
  <si>
    <t xml:space="preserve">Own pavilion </t>
  </si>
  <si>
    <t>Bdg GASTECH 2025</t>
  </si>
  <si>
    <t>191.2sqm</t>
  </si>
  <si>
    <t>100.5sqm</t>
  </si>
  <si>
    <t>Budget 2025</t>
  </si>
  <si>
    <t>Euro</t>
  </si>
  <si>
    <t>NOKS</t>
  </si>
  <si>
    <t>COST IN NORWAY</t>
  </si>
  <si>
    <t>€</t>
  </si>
  <si>
    <t xml:space="preserve">Floor space rent </t>
  </si>
  <si>
    <t>Price intervall</t>
  </si>
  <si>
    <t>Participation fee per company 1300€ each</t>
  </si>
  <si>
    <t>large stand 3X</t>
  </si>
  <si>
    <t>Extra cost for electricity etc...</t>
  </si>
  <si>
    <t>Standbuilding (including VAT)</t>
  </si>
  <si>
    <t>Other cost</t>
  </si>
  <si>
    <t>Catering</t>
  </si>
  <si>
    <t>Travel cost</t>
  </si>
  <si>
    <t>Partial cost</t>
  </si>
  <si>
    <t>Project management IN 290 hours</t>
  </si>
  <si>
    <t>Total cost</t>
  </si>
  <si>
    <t>INCOME:</t>
  </si>
  <si>
    <t xml:space="preserve">Company fees </t>
  </si>
  <si>
    <t>Innovation Norway's IBE fund</t>
  </si>
  <si>
    <t>Partial income</t>
  </si>
  <si>
    <t>Innovation Norway's  hours (290)</t>
  </si>
  <si>
    <t>Total income</t>
  </si>
  <si>
    <t>Deviation</t>
  </si>
  <si>
    <t>% of total space for IN</t>
  </si>
  <si>
    <t>Euro exch rate</t>
  </si>
  <si>
    <t xml:space="preserve">120 square meters </t>
  </si>
  <si>
    <t xml:space="preserve">marketing pacakge </t>
  </si>
  <si>
    <t>10.000</t>
  </si>
  <si>
    <t xml:space="preserve">Stand bulding </t>
  </si>
  <si>
    <t>Gastech 2026</t>
  </si>
  <si>
    <t>Revenue</t>
  </si>
  <si>
    <t>No</t>
  </si>
  <si>
    <t>price GBP</t>
  </si>
  <si>
    <t>Total</t>
  </si>
  <si>
    <t>Embassy Næringsmidler</t>
  </si>
  <si>
    <t>Costs</t>
  </si>
  <si>
    <t>Price GBP</t>
  </si>
  <si>
    <t>£</t>
  </si>
  <si>
    <t>Stand design</t>
  </si>
  <si>
    <t>(Stand party + Energy seminar - Emb &amp; sponsors?)</t>
  </si>
  <si>
    <t>In Hours Other costs</t>
  </si>
  <si>
    <t>Travel IN</t>
  </si>
  <si>
    <t>Total costs</t>
  </si>
  <si>
    <t>Revenue/ cost</t>
  </si>
  <si>
    <t>Contact person</t>
  </si>
  <si>
    <t>Exhibitor 2025, Milano</t>
  </si>
  <si>
    <t>Mail invitation</t>
  </si>
  <si>
    <t>Interested</t>
  </si>
  <si>
    <t>Conclustion and booking</t>
  </si>
  <si>
    <t>RESPONSIBl</t>
  </si>
  <si>
    <t>Zoe.Drysdale@akersolutions.com</t>
  </si>
  <si>
    <t>Framo Engineering</t>
  </si>
  <si>
    <t>Geir Helgesen</t>
  </si>
  <si>
    <t>Rystad Energy</t>
  </si>
  <si>
    <t>Molly Beyer</t>
  </si>
  <si>
    <t>Hydrogen Mem-Tech</t>
  </si>
  <si>
    <t>jorgen.svare@hydrogen-mem-tech.com</t>
  </si>
  <si>
    <t>DNV</t>
  </si>
  <si>
    <t>local</t>
  </si>
  <si>
    <t>Econnect Energy</t>
  </si>
  <si>
    <t>karianne.hartviksen@ecoenergy.no</t>
  </si>
  <si>
    <t>Passer</t>
  </si>
  <si>
    <t>ClampOn</t>
  </si>
  <si>
    <t>Anja.Bilsbak@clampon.com</t>
  </si>
  <si>
    <t>Höegh EVI</t>
  </si>
  <si>
    <t>Tore Lunde</t>
  </si>
  <si>
    <t xml:space="preserve">roar.hernes@tunable.com </t>
  </si>
  <si>
    <t>Bergen Engine</t>
  </si>
  <si>
    <t>John.Johnsen@bergenengines.com</t>
  </si>
  <si>
    <t>FutureOn</t>
  </si>
  <si>
    <t>CLAMP ON</t>
  </si>
  <si>
    <t>Autronica Det-Tronics</t>
  </si>
  <si>
    <t>Essie.amire@carrier.com</t>
  </si>
  <si>
    <t>Cyient Norway AS</t>
  </si>
  <si>
    <t>Yara</t>
  </si>
  <si>
    <t>Sintef Energi</t>
  </si>
  <si>
    <t>LCA.no</t>
  </si>
  <si>
    <t>AARBRAKKE</t>
  </si>
  <si>
    <t>GROUNDBREAKER</t>
  </si>
  <si>
    <t>Umoe Advanced Composites</t>
  </si>
  <si>
    <t>oen@uac.no</t>
  </si>
  <si>
    <t>4SUBSEA</t>
  </si>
  <si>
    <t>CELLTECH</t>
  </si>
  <si>
    <t>NIRAS</t>
  </si>
  <si>
    <t>OLIASOFT</t>
  </si>
  <si>
    <t>OPTIME SUBSEA</t>
  </si>
  <si>
    <t>TRELLEBORG SEALING SOLUTIONS</t>
  </si>
  <si>
    <t xml:space="preserve"> Solutions</t>
  </si>
  <si>
    <t>Intellilift</t>
  </si>
  <si>
    <t>RED ROCK</t>
  </si>
  <si>
    <t>TGS</t>
  </si>
  <si>
    <t xml:space="preserve">Yes </t>
  </si>
  <si>
    <t xml:space="preserve">yes </t>
  </si>
  <si>
    <t xml:space="preserve">no </t>
  </si>
  <si>
    <t xml:space="preserve">Bergen Engineers </t>
  </si>
  <si>
    <t>asle.lohne@bergenengines.com</t>
  </si>
  <si>
    <t>Pavilion sqm H126</t>
  </si>
  <si>
    <t xml:space="preserve">DNV </t>
  </si>
  <si>
    <t>Total revenue GBP</t>
  </si>
  <si>
    <t>Total revenue NOK</t>
  </si>
  <si>
    <t>UMOE</t>
  </si>
  <si>
    <t xml:space="preserve">Econnect </t>
  </si>
  <si>
    <t xml:space="preserve">Equinor </t>
  </si>
  <si>
    <t>ShareCat</t>
  </si>
  <si>
    <t xml:space="preserve">Nei har ikke penger men kan ta kontakt i mai </t>
  </si>
  <si>
    <t xml:space="preserve">Person </t>
  </si>
  <si>
    <t xml:space="preserve">Email </t>
  </si>
  <si>
    <r>
      <t>Nico.Roeper@</t>
    </r>
    <r>
      <rPr>
        <sz val="7"/>
        <color rgb="FF000000"/>
        <rFont val="Segoe UI"/>
        <family val="2"/>
      </rPr>
      <t>dnv</t>
    </r>
    <r>
      <rPr>
        <sz val="7"/>
        <color rgb="FF242424"/>
        <rFont val="Segoe UI"/>
        <family val="2"/>
      </rPr>
      <t>.com</t>
    </r>
  </si>
  <si>
    <t xml:space="preserve">Nico </t>
  </si>
  <si>
    <t>carsten.hagane@passer.no</t>
  </si>
  <si>
    <t xml:space="preserve">Carsten </t>
  </si>
  <si>
    <t>Sales Director</t>
  </si>
  <si>
    <t xml:space="preserve">folowed up 6th January 
</t>
  </si>
  <si>
    <t xml:space="preserve">Nei men sent epost om nettverkspartner </t>
  </si>
  <si>
    <t xml:space="preserve">no will not participate in GasTech  </t>
  </si>
  <si>
    <t xml:space="preserve">Sharecat </t>
  </si>
  <si>
    <t xml:space="preserve">Sent email netowkr partner 7th Jan </t>
  </si>
  <si>
    <t>NO</t>
  </si>
  <si>
    <t xml:space="preserve">Capturi </t>
  </si>
  <si>
    <t xml:space="preserve">Nei skal ikke til GasTech </t>
  </si>
  <si>
    <t xml:space="preserve">Nettwork Partner </t>
  </si>
  <si>
    <t>Invoicing</t>
  </si>
  <si>
    <t>City</t>
  </si>
  <si>
    <t>note</t>
  </si>
  <si>
    <t>Trondheim</t>
  </si>
  <si>
    <t xml:space="preserve"> og  Wärtsiä Gas Solutions</t>
  </si>
  <si>
    <t>Aragon</t>
  </si>
  <si>
    <t>Jarle.Michaelsen@cyient.com</t>
  </si>
  <si>
    <t>Jarle.Michaelsen</t>
  </si>
  <si>
    <t xml:space="preserve">Sales </t>
  </si>
  <si>
    <t>Thor Egil Hafnor (thoregil.hafnor@spectrum-safety.com)</t>
  </si>
  <si>
    <t xml:space="preserve">Leads </t>
  </si>
  <si>
    <t xml:space="preserve">ABL Group </t>
  </si>
  <si>
    <t xml:space="preserve">Michael Smirnoff head of MarCom </t>
  </si>
  <si>
    <t>"thoregil.hafnor@spectrum-safety.com</t>
  </si>
  <si>
    <t>ka-mun.lam@cognite.com</t>
  </si>
  <si>
    <t>Ka Mun</t>
  </si>
  <si>
    <t>Kate</t>
  </si>
  <si>
    <t>Tor Skogan</t>
  </si>
  <si>
    <t>mossmaritime</t>
  </si>
  <si>
    <t xml:space="preserve">Snakke  med henne tirsdag </t>
  </si>
  <si>
    <t xml:space="preserve">Epost til Marketing dame og bedt om møte 19 jan </t>
  </si>
  <si>
    <t xml:space="preserve">Del av italisnsk stand sendt dem tilbud om nettverkspartner </t>
  </si>
  <si>
    <t xml:space="preserve">Sent offer for Netverkspartner </t>
  </si>
  <si>
    <t>gabriel.gjessing@ecoenergy.no</t>
  </si>
  <si>
    <t>Gabriel Krohn Gjessing</t>
  </si>
  <si>
    <t>Project Engineer</t>
  </si>
  <si>
    <t xml:space="preserve">Meeting Room </t>
  </si>
  <si>
    <t xml:space="preserve">Karin sent offer of 15,000 pounds Contract sent 22 jan. he has to appy for Messestøtte first </t>
  </si>
  <si>
    <t xml:space="preserve">Contract signed and returned. Hai to upload to CRM </t>
  </si>
  <si>
    <t xml:space="preserve">contract sent the 22 jan. Reminder 27th jan </t>
  </si>
  <si>
    <t xml:space="preserve">Standard 1 and a meeting room. Talk next Thursday </t>
  </si>
  <si>
    <t xml:space="preserve">Network Partner </t>
  </si>
  <si>
    <t xml:space="preserve">Confirmed network partner30th Jan Hai log in Agresso </t>
  </si>
  <si>
    <t>Lattice Technology, Pål Bråthen paal.braathen@lattice-technology.com</t>
  </si>
  <si>
    <t>Coreall, per.erik.berger@coreall.no</t>
  </si>
  <si>
    <t>Firenor, Iain Hill, Global Business Development Iain.Hill@firenor.com</t>
  </si>
  <si>
    <t>Interwell, @Eirik Melaaen har du kontakt med disse?</t>
  </si>
  <si>
    <t>Oliasoft, Andre Backen, andre@oliasoft.com</t>
  </si>
  <si>
    <t>Litt mindre aktuelle, man kan prøve:_</t>
  </si>
  <si>
    <t>Safetec, Frank Vollen, frank.vollen@safetec.no</t>
  </si>
  <si>
    <t>CSUB, Carl Petter Halvorsen, cph@csub.com</t>
  </si>
  <si>
    <t>sent offer for Netowrk partner 30 jan</t>
  </si>
  <si>
    <t xml:space="preserve">Standard plass 4. Contract returned 29th Jan by Carsten </t>
  </si>
  <si>
    <t>janne.berglund@daphnetech.com</t>
  </si>
  <si>
    <t xml:space="preserve">Standard 1 (Large one) facing the floor. Frindly reminder 2 feb about Contract </t>
  </si>
  <si>
    <t xml:space="preserve">NEL </t>
  </si>
  <si>
    <t xml:space="preserve">Spurt om bekreftelse på nettverkspartner 3 mars </t>
  </si>
  <si>
    <t xml:space="preserve">Epost 3 feb </t>
  </si>
  <si>
    <t xml:space="preserve">Nei til paviliong men sent epost om nettverkspartner til salgsperson, purret 3 feb </t>
  </si>
  <si>
    <t xml:space="preserve">No she is Swiss </t>
  </si>
  <si>
    <t xml:space="preserve">Spurt om bekreftelse på nettverkspartner 3 feb  </t>
  </si>
  <si>
    <t>Tonje Hellesøy (Ms.)</t>
  </si>
  <si>
    <t>BW LNG</t>
  </si>
  <si>
    <t xml:space="preserve">autonica </t>
  </si>
  <si>
    <t xml:space="preserve">Aker solution </t>
  </si>
  <si>
    <t xml:space="preserve">Can get 70,000 discout from IN, under 100 employees </t>
  </si>
  <si>
    <t xml:space="preserve">Jacop </t>
  </si>
  <si>
    <t xml:space="preserve">nei til paviliong men sent epost om nettverkspartner til Jacop </t>
  </si>
  <si>
    <t xml:space="preserve">Aibel </t>
  </si>
  <si>
    <t xml:space="preserve">aina </t>
  </si>
  <si>
    <t>DNB</t>
  </si>
  <si>
    <t xml:space="preserve">meeting room </t>
  </si>
  <si>
    <t xml:space="preserve">9 feb - sendte tilbud og nettverksparnter tilbud </t>
  </si>
  <si>
    <t xml:space="preserve">Jotun </t>
  </si>
  <si>
    <t>kiran.dhillon@oliasoft.com</t>
  </si>
  <si>
    <t xml:space="preserve">Krian Dhillion </t>
  </si>
  <si>
    <t xml:space="preserve">Oliasoft </t>
  </si>
  <si>
    <t xml:space="preserve">9th Feb will confirm network partner </t>
  </si>
  <si>
    <t>Jon E. Bergan</t>
  </si>
  <si>
    <t>Lattice International AS</t>
  </si>
  <si>
    <t xml:space="preserve">Chief Commercial Officer, </t>
  </si>
  <si>
    <t xml:space="preserve">Tunable </t>
  </si>
  <si>
    <t>Aize</t>
  </si>
  <si>
    <t>Yes before tet</t>
  </si>
  <si>
    <t xml:space="preserve">meeting table </t>
  </si>
  <si>
    <t xml:space="preserve">Rystad </t>
  </si>
  <si>
    <t xml:space="preserve">insurance </t>
  </si>
  <si>
    <t>CURRENCY: SINGAPORE DOLLARS, 1 SGD = 7.5 NOK</t>
  </si>
  <si>
    <t>Sec.</t>
  </si>
  <si>
    <t>Item</t>
  </si>
  <si>
    <t>Description / Specifications</t>
  </si>
  <si>
    <t>Qty</t>
  </si>
  <si>
    <t>Total Cost (SGD)</t>
  </si>
  <si>
    <t>A  |  FLOORING (include supply, install and dismantle service)</t>
  </si>
  <si>
    <t>1</t>
  </si>
  <si>
    <t>Platform: Wooden structure covered with MDF W11.50 x L11.00 x H0.10m (Included Slope)</t>
  </si>
  <si>
    <t>126.5 sqm</t>
  </si>
  <si>
    <t>2</t>
  </si>
  <si>
    <t>Lay clear protection sheet, to remove on eve of show opening (PVC cover film till eve of opening)</t>
  </si>
  <si>
    <t>Section A Total</t>
  </si>
  <si>
    <t>B  |  STRUCTURE / CARPENTRY</t>
  </si>
  <si>
    <t>Wooden panel: Wooden structure painted finish W11.50 x L11.00 x H2.45m</t>
  </si>
  <si>
    <t>1 set</t>
  </si>
  <si>
    <t>Store Panel + Swing Door: Wooden structure painted finish W0.10 x L6.00 x H2.45m</t>
  </si>
  <si>
    <t>3</t>
  </si>
  <si>
    <t>Bar Counter: Wooden structure covered with laminate W0.60 x L3.00 x H1.00m</t>
  </si>
  <si>
    <t>4</t>
  </si>
  <si>
    <t>Stage platform: L4.00m x W1.00m</t>
  </si>
  <si>
    <t>5</t>
  </si>
  <si>
    <t>Panel Wooden panel + L Shape table (Included Inkjet and spotlight 2 nos.) W1.20 x L2.70 x H2.40m  [Replacing item B5]</t>
  </si>
  <si>
    <t>7 sets</t>
  </si>
  <si>
    <t>Note: (i) Design subject to Official Organiser's approval. (ii) Does not include transportation of client's materials.</t>
  </si>
  <si>
    <t>Section B Total</t>
  </si>
  <si>
    <t>C  |  FURNITURE &amp; AV RENTAL</t>
  </si>
  <si>
    <t>Bar Chairs for 7 exhibitor pods</t>
  </si>
  <si>
    <t>Discussion Chair</t>
  </si>
  <si>
    <t>12 nos</t>
  </si>
  <si>
    <t>1 no</t>
  </si>
  <si>
    <t>6</t>
  </si>
  <si>
    <t>Trash bin</t>
  </si>
  <si>
    <t>7 nos</t>
  </si>
  <si>
    <t>Complimentary</t>
  </si>
  <si>
    <t>Section C Total</t>
  </si>
  <si>
    <t>D  |  ELECTRICAL FITTINGS AND CONNECTIONS RENTAL</t>
  </si>
  <si>
    <t>D</t>
  </si>
  <si>
    <t>Spotlight with arm: Daylight</t>
  </si>
  <si>
    <t>Floodlight 200W</t>
  </si>
  <si>
    <t>10 nos</t>
  </si>
  <si>
    <t>Power Socket</t>
  </si>
  <si>
    <t>20 nos</t>
  </si>
  <si>
    <t>DB box for 15 Amp 3 Phase</t>
  </si>
  <si>
    <t>Section D Total</t>
  </si>
  <si>
    <t>E  |  OVERALL PROJECT MANAGEMENT</t>
  </si>
  <si>
    <t>E</t>
  </si>
  <si>
    <t>Project planning (including Admin Fees, Pico Insurance Blanket Coverage)</t>
  </si>
  <si>
    <t>1 lot</t>
  </si>
  <si>
    <t>Provision for off-site fabrication of all booth materials and shippings</t>
  </si>
  <si>
    <t>Transportation of all booth materials to site (1-time)</t>
  </si>
  <si>
    <t>1 time</t>
  </si>
  <si>
    <t>Labour to set up and dismantle of all booth materials</t>
  </si>
  <si>
    <t>1 unit</t>
  </si>
  <si>
    <t>Project management to oversee entire project and coordinate with each exhibitor (1 PM)</t>
  </si>
  <si>
    <t>Provision of booth cleaning and vacuuming on eve and end of show</t>
  </si>
  <si>
    <t>Section E Total</t>
  </si>
  <si>
    <t>Subtotal (Sections A–E, excl. taxes)</t>
  </si>
  <si>
    <t>Goodwill Discount (7%)</t>
  </si>
  <si>
    <t>TOTAL (SGD, excl. taxes)</t>
  </si>
  <si>
    <t>DIRECT COST (To be paid directly to Organiser/Official Contractor): Electrical and Distribution Box — TBA</t>
  </si>
  <si>
    <t>OPTIONAL — General</t>
  </si>
  <si>
    <t>O</t>
  </si>
  <si>
    <t>42" TV wall mounted (replacing item C2)</t>
  </si>
  <si>
    <t>16 nos</t>
  </si>
  <si>
    <t>Panel Lightbox + L Shape table (Incl. fabric printing and LED) W1.20 x L2.70 x H2.40m</t>
  </si>
  <si>
    <t>8 sets</t>
  </si>
  <si>
    <t>Wooden panel: Wooden structure painted finish W11.50 x L11.00 x H4.0m</t>
  </si>
  <si>
    <t>OPTIONAL — Hanging</t>
  </si>
  <si>
    <t>Truss Structure W0.30 x L(11.30+10.60) x H0.30m + Motor Hoist (6 sets) + Hanging Fee</t>
  </si>
  <si>
    <t>Hanging: Metal + Wooden structure covered with MDF pasted inkjet PVC W(run) 22.50 x H1.20m</t>
  </si>
  <si>
    <t>Floodlight 200W for hanging</t>
  </si>
  <si>
    <t>10 sets</t>
  </si>
  <si>
    <t>OPTIONAL — Meeting Room (1 Room)</t>
  </si>
  <si>
    <t>7</t>
  </si>
  <si>
    <t>8</t>
  </si>
  <si>
    <t>Customize meeting table with power socket and soft close</t>
  </si>
  <si>
    <t>9</t>
  </si>
  <si>
    <t>55" TV wall mounted</t>
  </si>
  <si>
    <t>10</t>
  </si>
  <si>
    <t>Downlight</t>
  </si>
  <si>
    <t>11</t>
  </si>
  <si>
    <t>Standing Air Cooler</t>
  </si>
  <si>
    <t>12</t>
  </si>
  <si>
    <t>Meeting Chair / Director Chairs</t>
  </si>
  <si>
    <t>Optional Items Total (if all selected)</t>
  </si>
  <si>
    <t>OPTIONAL ITEMS</t>
  </si>
  <si>
    <t xml:space="preserve">Netverkspartner </t>
  </si>
  <si>
    <t>100" TV wall mounted (2,2 length 1,3 h)</t>
  </si>
  <si>
    <t>28 nos</t>
  </si>
  <si>
    <t>42" TV wall mounted (42'' - Vietship 2025)</t>
  </si>
  <si>
    <t>Wooden panel: W5.00 x L4.00 x H2.45m with glass swing door and ceiling</t>
  </si>
  <si>
    <t xml:space="preserve">Standard </t>
  </si>
  <si>
    <t xml:space="preserve">Catering 60 sandwiches 3 days)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</si>
</sst>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kr&quot;\ * #,##0.00_-;\-&quot;kr&quot;\ * #,##0.00_-;_-&quot;kr&quot;\ * &quot;-&quot;??_-;_-@_-"/>
    <numFmt numFmtId="165" formatCode="_-* #,##0.00_-;\-* #,##0.00_-;_-* &quot;-&quot;??_-;_-@_-"/>
    <numFmt numFmtId="166" formatCode="_-* #,##0.00\ _X_D_R_-;\-* #,##0.00\ _X_D_R_-;_-* &quot;-&quot;??\ _X_D_R_-;_-@_-"/>
    <numFmt numFmtId="167" formatCode="_ * #,##0_ ;_ * \-#,##0_ ;_ * &quot;-&quot;??_ ;_ @_ "/>
    <numFmt numFmtId="168" formatCode="[$kr-414]\ #,##0.00"/>
    <numFmt numFmtId="169" formatCode="[$£-809]#,##0"/>
    <numFmt numFmtId="170" formatCode="_-&quot;kr&quot;\ * #,##0_-;\-&quot;kr&quot;\ * #,##0_-;_-&quot;kr&quot;\ * &quot;-&quot;??_-;_-@_-"/>
    <numFmt numFmtId="171" formatCode="[$GBP]\ #,##0.00"/>
    <numFmt numFmtId="172" formatCode="\$#,##0.00"/>
  </numFmts>
  <fonts count="7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theme="6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9"/>
      <color theme="1"/>
      <name val="Aptos"/>
      <family val="2"/>
    </font>
    <font>
      <sz val="11"/>
      <color rgb="FF242424"/>
      <name val="Aptos Narrow"/>
      <family val="2"/>
    </font>
    <font>
      <sz val="12"/>
      <color rgb="FF000000"/>
      <name val="Arial"/>
      <family val="2"/>
    </font>
    <font>
      <sz val="11"/>
      <color rgb="FFFFC000"/>
      <name val="Aptos Narrow"/>
      <family val="2"/>
      <scheme val="minor"/>
    </font>
    <font>
      <sz val="11"/>
      <color rgb="FFFFC000"/>
      <name val="Aptos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u val="singleAccounting"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9"/>
      <color rgb="FF000000"/>
      <name val="Apto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rgb="FF242424"/>
      <name val="Segoe UI"/>
      <family val="2"/>
    </font>
    <font>
      <sz val="7"/>
      <color rgb="FF000000"/>
      <name val="Segoe UI"/>
      <family val="2"/>
    </font>
    <font>
      <b/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b/>
      <strike/>
      <sz val="11"/>
      <color rgb="FF000000"/>
      <name val="Aptos Narrow"/>
      <family val="2"/>
      <scheme val="minor"/>
    </font>
    <font>
      <sz val="8"/>
      <color theme="1"/>
      <name val="Segoe UI"/>
      <family val="2"/>
    </font>
    <font>
      <b/>
      <sz val="11"/>
      <color rgb="FF316465"/>
      <name val="Aptos"/>
      <family val="2"/>
    </font>
    <font>
      <sz val="12"/>
      <color rgb="FF242424"/>
      <name val="Aptos"/>
      <family val="2"/>
    </font>
    <font>
      <sz val="12"/>
      <name val="Aptos"/>
      <family val="2"/>
    </font>
    <font>
      <sz val="11"/>
      <color rgb="FF467886"/>
      <name val="Aptos Narrow"/>
      <family val="2"/>
    </font>
    <font>
      <b/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FF0000"/>
      <name val="Aptos"/>
      <family val="2"/>
    </font>
    <font>
      <b/>
      <sz val="11"/>
      <color rgb="FFFF0000"/>
      <name val="Aptos Narrow"/>
      <family val="2"/>
    </font>
    <font>
      <b/>
      <sz val="12"/>
      <color rgb="FFFF0000"/>
      <name val="Aptos Narrow"/>
      <family val="2"/>
      <scheme val="minor"/>
    </font>
    <font>
      <sz val="11"/>
      <color rgb="FFFF0000"/>
      <name val="Aptos"/>
      <family val="2"/>
    </font>
    <font>
      <u/>
      <sz val="11"/>
      <name val="Aptos Narrow"/>
      <family val="2"/>
      <scheme val="minor"/>
    </font>
    <font>
      <b/>
      <sz val="12"/>
      <color rgb="FF1F497D"/>
      <name val="Calibri"/>
      <family val="2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b/>
      <sz val="11"/>
      <color rgb="FFFFFFFF"/>
      <name val="Arial"/>
    </font>
    <font>
      <i/>
      <sz val="9"/>
      <color rgb="FF595959"/>
      <name val="Arial"/>
    </font>
    <font>
      <b/>
      <sz val="13"/>
      <color rgb="FFFFFFFF"/>
      <name val="Arial"/>
    </font>
    <font>
      <i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54823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0">
    <xf numFmtId="0" fontId="0" fillId="0" borderId="0" xfId="0"/>
    <xf numFmtId="165" fontId="0" fillId="0" borderId="0" xfId="1" applyFont="1"/>
    <xf numFmtId="0" fontId="0" fillId="2" borderId="0" xfId="0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166" fontId="0" fillId="0" borderId="0" xfId="0" applyNumberFormat="1" applyAlignment="1">
      <alignment horizontal="center"/>
    </xf>
    <xf numFmtId="0" fontId="15" fillId="6" borderId="0" xfId="0" applyFont="1" applyFill="1" applyAlignment="1">
      <alignment vertical="center"/>
    </xf>
    <xf numFmtId="0" fontId="16" fillId="6" borderId="0" xfId="2" applyFont="1" applyFill="1" applyBorder="1" applyAlignment="1">
      <alignment vertical="center"/>
    </xf>
    <xf numFmtId="0" fontId="17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5" borderId="0" xfId="0" applyFont="1" applyFill="1" applyAlignment="1">
      <alignment vertical="center"/>
    </xf>
    <xf numFmtId="3" fontId="11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0" fillId="6" borderId="0" xfId="0" applyFill="1"/>
    <xf numFmtId="0" fontId="10" fillId="6" borderId="0" xfId="2" applyFill="1" applyBorder="1" applyAlignment="1">
      <alignment vertical="center"/>
    </xf>
    <xf numFmtId="0" fontId="0" fillId="2" borderId="0" xfId="0" applyFill="1" applyAlignment="1">
      <alignment vertical="center"/>
    </xf>
    <xf numFmtId="3" fontId="3" fillId="0" borderId="0" xfId="0" applyNumberFormat="1" applyFont="1"/>
    <xf numFmtId="3" fontId="0" fillId="0" borderId="0" xfId="0" applyNumberFormat="1"/>
    <xf numFmtId="0" fontId="10" fillId="0" borderId="0" xfId="2"/>
    <xf numFmtId="0" fontId="10" fillId="0" borderId="0" xfId="2" applyAlignment="1">
      <alignment vertical="center"/>
    </xf>
    <xf numFmtId="0" fontId="10" fillId="0" borderId="0" xfId="2" applyFill="1" applyAlignment="1">
      <alignment vertical="center"/>
    </xf>
    <xf numFmtId="0" fontId="7" fillId="0" borderId="0" xfId="0" applyFont="1" applyAlignment="1">
      <alignment vertical="center"/>
    </xf>
    <xf numFmtId="0" fontId="20" fillId="0" borderId="0" xfId="0" applyFont="1"/>
    <xf numFmtId="0" fontId="0" fillId="7" borderId="0" xfId="0" applyFill="1"/>
    <xf numFmtId="0" fontId="0" fillId="7" borderId="0" xfId="0" applyFill="1" applyAlignment="1">
      <alignment horizontal="center"/>
    </xf>
    <xf numFmtId="0" fontId="10" fillId="7" borderId="0" xfId="2" applyFill="1" applyAlignment="1">
      <alignment vertical="center"/>
    </xf>
    <xf numFmtId="0" fontId="10" fillId="6" borderId="0" xfId="2" applyFill="1"/>
    <xf numFmtId="0" fontId="0" fillId="6" borderId="0" xfId="0" applyFill="1" applyAlignment="1">
      <alignment horizontal="center"/>
    </xf>
    <xf numFmtId="1" fontId="0" fillId="0" borderId="0" xfId="0" applyNumberFormat="1" applyAlignment="1">
      <alignment horizontal="right" indent="1"/>
    </xf>
    <xf numFmtId="1" fontId="3" fillId="0" borderId="0" xfId="0" applyNumberFormat="1" applyFont="1" applyAlignment="1">
      <alignment horizontal="right" indent="1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right"/>
    </xf>
    <xf numFmtId="0" fontId="26" fillId="8" borderId="0" xfId="0" applyFont="1" applyFill="1"/>
    <xf numFmtId="0" fontId="26" fillId="0" borderId="0" xfId="0" applyFont="1"/>
    <xf numFmtId="0" fontId="25" fillId="0" borderId="0" xfId="0" applyFont="1"/>
    <xf numFmtId="0" fontId="27" fillId="0" borderId="0" xfId="0" applyFont="1" applyAlignment="1">
      <alignment horizontal="center"/>
    </xf>
    <xf numFmtId="0" fontId="28" fillId="8" borderId="0" xfId="0" applyFont="1" applyFill="1"/>
    <xf numFmtId="0" fontId="28" fillId="0" borderId="0" xfId="0" applyFont="1"/>
    <xf numFmtId="0" fontId="25" fillId="0" borderId="1" xfId="0" applyFont="1" applyBorder="1"/>
    <xf numFmtId="0" fontId="27" fillId="0" borderId="1" xfId="0" applyFont="1" applyBorder="1" applyAlignment="1">
      <alignment horizontal="center"/>
    </xf>
    <xf numFmtId="0" fontId="26" fillId="8" borderId="1" xfId="0" applyFont="1" applyFill="1" applyBorder="1"/>
    <xf numFmtId="0" fontId="29" fillId="0" borderId="0" xfId="0" applyFont="1"/>
    <xf numFmtId="0" fontId="30" fillId="8" borderId="0" xfId="0" applyFont="1" applyFill="1"/>
    <xf numFmtId="0" fontId="31" fillId="0" borderId="0" xfId="0" applyFont="1"/>
    <xf numFmtId="0" fontId="32" fillId="9" borderId="0" xfId="0" applyFont="1" applyFill="1"/>
    <xf numFmtId="3" fontId="26" fillId="8" borderId="0" xfId="0" applyNumberFormat="1" applyFont="1" applyFill="1"/>
    <xf numFmtId="3" fontId="26" fillId="0" borderId="0" xfId="0" applyNumberFormat="1" applyFont="1"/>
    <xf numFmtId="16" fontId="0" fillId="0" borderId="0" xfId="0" applyNumberFormat="1"/>
    <xf numFmtId="168" fontId="0" fillId="0" borderId="0" xfId="0" applyNumberFormat="1"/>
    <xf numFmtId="0" fontId="33" fillId="0" borderId="0" xfId="0" applyFont="1"/>
    <xf numFmtId="3" fontId="28" fillId="9" borderId="0" xfId="0" applyNumberFormat="1" applyFont="1" applyFill="1"/>
    <xf numFmtId="1" fontId="32" fillId="9" borderId="0" xfId="0" applyNumberFormat="1" applyFont="1" applyFill="1"/>
    <xf numFmtId="0" fontId="24" fillId="10" borderId="0" xfId="0" applyFont="1" applyFill="1"/>
    <xf numFmtId="3" fontId="26" fillId="10" borderId="0" xfId="0" applyNumberFormat="1" applyFont="1" applyFill="1"/>
    <xf numFmtId="0" fontId="32" fillId="10" borderId="0" xfId="0" applyFont="1" applyFill="1"/>
    <xf numFmtId="0" fontId="32" fillId="0" borderId="2" xfId="0" applyFont="1" applyBorder="1"/>
    <xf numFmtId="0" fontId="32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3" fontId="24" fillId="0" borderId="0" xfId="0" applyNumberFormat="1" applyFont="1"/>
    <xf numFmtId="3" fontId="30" fillId="8" borderId="0" xfId="0" applyNumberFormat="1" applyFont="1" applyFill="1"/>
    <xf numFmtId="0" fontId="32" fillId="11" borderId="3" xfId="0" applyFont="1" applyFill="1" applyBorder="1"/>
    <xf numFmtId="0" fontId="32" fillId="11" borderId="4" xfId="0" applyFont="1" applyFill="1" applyBorder="1"/>
    <xf numFmtId="167" fontId="26" fillId="0" borderId="0" xfId="1" applyNumberFormat="1" applyFont="1" applyFill="1" applyBorder="1"/>
    <xf numFmtId="167" fontId="24" fillId="0" borderId="0" xfId="1" applyNumberFormat="1" applyFont="1" applyFill="1" applyBorder="1"/>
    <xf numFmtId="167" fontId="24" fillId="10" borderId="0" xfId="1" applyNumberFormat="1" applyFont="1" applyFill="1" applyBorder="1"/>
    <xf numFmtId="167" fontId="32" fillId="10" borderId="0" xfId="1" applyNumberFormat="1" applyFont="1" applyFill="1" applyBorder="1"/>
    <xf numFmtId="167" fontId="32" fillId="0" borderId="2" xfId="1" applyNumberFormat="1" applyFont="1" applyFill="1" applyBorder="1"/>
    <xf numFmtId="167" fontId="29" fillId="0" borderId="0" xfId="1" applyNumberFormat="1" applyFont="1" applyFill="1" applyBorder="1"/>
    <xf numFmtId="167" fontId="31" fillId="0" borderId="0" xfId="1" applyNumberFormat="1" applyFont="1" applyFill="1" applyBorder="1"/>
    <xf numFmtId="167" fontId="32" fillId="0" borderId="0" xfId="1" applyNumberFormat="1" applyFont="1" applyFill="1" applyBorder="1"/>
    <xf numFmtId="167" fontId="30" fillId="0" borderId="0" xfId="1" applyNumberFormat="1" applyFont="1" applyFill="1" applyBorder="1"/>
    <xf numFmtId="9" fontId="24" fillId="0" borderId="0" xfId="3" applyFont="1" applyFill="1" applyBorder="1"/>
    <xf numFmtId="167" fontId="32" fillId="11" borderId="4" xfId="1" applyNumberFormat="1" applyFont="1" applyFill="1" applyBorder="1"/>
    <xf numFmtId="167" fontId="32" fillId="11" borderId="5" xfId="1" applyNumberFormat="1" applyFont="1" applyFill="1" applyBorder="1"/>
    <xf numFmtId="167" fontId="24" fillId="0" borderId="0" xfId="0" applyNumberFormat="1" applyFont="1"/>
    <xf numFmtId="0" fontId="24" fillId="8" borderId="0" xfId="0" applyFont="1" applyFill="1"/>
    <xf numFmtId="0" fontId="34" fillId="8" borderId="0" xfId="0" applyFont="1" applyFill="1"/>
    <xf numFmtId="9" fontId="26" fillId="8" borderId="0" xfId="3" applyFont="1" applyFill="1" applyBorder="1"/>
    <xf numFmtId="2" fontId="26" fillId="8" borderId="0" xfId="0" applyNumberFormat="1" applyFont="1" applyFill="1"/>
    <xf numFmtId="0" fontId="10" fillId="7" borderId="0" xfId="2" applyFill="1"/>
    <xf numFmtId="0" fontId="16" fillId="6" borderId="0" xfId="2" applyFont="1" applyFill="1"/>
    <xf numFmtId="0" fontId="7" fillId="6" borderId="0" xfId="0" applyFont="1" applyFill="1" applyAlignment="1">
      <alignment vertical="center"/>
    </xf>
    <xf numFmtId="0" fontId="10" fillId="6" borderId="0" xfId="2" applyFill="1" applyAlignment="1">
      <alignment vertical="center"/>
    </xf>
    <xf numFmtId="0" fontId="7" fillId="7" borderId="0" xfId="0" applyFont="1" applyFill="1" applyAlignment="1">
      <alignment vertical="center"/>
    </xf>
    <xf numFmtId="169" fontId="0" fillId="0" borderId="0" xfId="4" applyNumberFormat="1" applyFont="1"/>
    <xf numFmtId="170" fontId="0" fillId="0" borderId="0" xfId="0" applyNumberFormat="1"/>
    <xf numFmtId="170" fontId="0" fillId="0" borderId="0" xfId="4" applyNumberFormat="1" applyFont="1"/>
    <xf numFmtId="0" fontId="3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165" fontId="0" fillId="0" borderId="5" xfId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5" fontId="3" fillId="12" borderId="5" xfId="1" applyFont="1" applyFill="1" applyBorder="1"/>
    <xf numFmtId="165" fontId="0" fillId="0" borderId="0" xfId="1" applyFont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0" borderId="5" xfId="0" applyBorder="1" applyAlignment="1">
      <alignment horizontal="center"/>
    </xf>
    <xf numFmtId="0" fontId="36" fillId="0" borderId="0" xfId="0" applyFont="1" applyAlignment="1">
      <alignment horizontal="center"/>
    </xf>
    <xf numFmtId="0" fontId="0" fillId="7" borderId="0" xfId="0" applyFill="1" applyAlignment="1">
      <alignment vertical="center"/>
    </xf>
    <xf numFmtId="0" fontId="0" fillId="2" borderId="0" xfId="0" applyFill="1"/>
    <xf numFmtId="0" fontId="10" fillId="2" borderId="0" xfId="2" applyFill="1"/>
    <xf numFmtId="0" fontId="15" fillId="6" borderId="0" xfId="0" applyFont="1" applyFill="1" applyAlignment="1">
      <alignment horizontal="center" vertical="center"/>
    </xf>
    <xf numFmtId="0" fontId="38" fillId="0" borderId="0" xfId="0" applyFont="1"/>
    <xf numFmtId="169" fontId="3" fillId="0" borderId="0" xfId="4" applyNumberFormat="1" applyFont="1"/>
    <xf numFmtId="9" fontId="3" fillId="0" borderId="0" xfId="3" applyFont="1"/>
    <xf numFmtId="170" fontId="3" fillId="0" borderId="0" xfId="4" applyNumberFormat="1" applyFont="1"/>
    <xf numFmtId="171" fontId="0" fillId="0" borderId="0" xfId="0" applyNumberFormat="1"/>
    <xf numFmtId="1" fontId="0" fillId="0" borderId="0" xfId="0" applyNumberFormat="1"/>
    <xf numFmtId="0" fontId="39" fillId="2" borderId="0" xfId="0" applyFont="1" applyFill="1"/>
    <xf numFmtId="170" fontId="39" fillId="2" borderId="0" xfId="0" applyNumberFormat="1" applyFont="1" applyFill="1"/>
    <xf numFmtId="0" fontId="40" fillId="2" borderId="0" xfId="0" applyFont="1" applyFill="1"/>
    <xf numFmtId="3" fontId="3" fillId="2" borderId="0" xfId="0" applyNumberFormat="1" applyFont="1" applyFill="1"/>
    <xf numFmtId="0" fontId="14" fillId="7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left" indent="1"/>
    </xf>
    <xf numFmtId="0" fontId="41" fillId="6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3" fillId="6" borderId="0" xfId="0" applyFont="1" applyFill="1"/>
    <xf numFmtId="0" fontId="17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0" fillId="13" borderId="0" xfId="0" applyFill="1"/>
    <xf numFmtId="0" fontId="17" fillId="13" borderId="0" xfId="0" applyFont="1" applyFill="1" applyAlignment="1">
      <alignment vertical="center"/>
    </xf>
    <xf numFmtId="0" fontId="3" fillId="13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6" fillId="6" borderId="0" xfId="0" applyFont="1" applyFill="1"/>
    <xf numFmtId="0" fontId="0" fillId="14" borderId="0" xfId="0" applyFill="1"/>
    <xf numFmtId="0" fontId="12" fillId="14" borderId="0" xfId="0" applyFont="1" applyFill="1" applyAlignment="1">
      <alignment vertical="center"/>
    </xf>
    <xf numFmtId="0" fontId="10" fillId="14" borderId="0" xfId="2" applyFill="1"/>
    <xf numFmtId="0" fontId="10" fillId="14" borderId="0" xfId="2" applyFill="1" applyAlignment="1">
      <alignment vertical="center"/>
    </xf>
    <xf numFmtId="0" fontId="11" fillId="14" borderId="0" xfId="0" applyFont="1" applyFill="1" applyAlignment="1">
      <alignment vertical="center" wrapText="1"/>
    </xf>
    <xf numFmtId="0" fontId="11" fillId="14" borderId="0" xfId="0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0" fontId="0" fillId="15" borderId="0" xfId="0" applyFill="1" applyAlignment="1">
      <alignment vertical="center"/>
    </xf>
    <xf numFmtId="0" fontId="3" fillId="15" borderId="0" xfId="0" applyFont="1" applyFill="1"/>
    <xf numFmtId="0" fontId="0" fillId="15" borderId="0" xfId="0" applyFill="1" applyAlignment="1">
      <alignment horizontal="center"/>
    </xf>
    <xf numFmtId="0" fontId="0" fillId="15" borderId="0" xfId="0" applyFill="1"/>
    <xf numFmtId="0" fontId="10" fillId="15" borderId="0" xfId="2" applyFill="1" applyAlignment="1">
      <alignment vertical="center"/>
    </xf>
    <xf numFmtId="0" fontId="3" fillId="15" borderId="0" xfId="0" applyFont="1" applyFill="1" applyAlignment="1">
      <alignment horizontal="center"/>
    </xf>
    <xf numFmtId="0" fontId="15" fillId="15" borderId="0" xfId="0" applyFont="1" applyFill="1" applyAlignment="1">
      <alignment vertical="center"/>
    </xf>
    <xf numFmtId="0" fontId="15" fillId="15" borderId="0" xfId="0" applyFont="1" applyFill="1" applyAlignment="1">
      <alignment horizontal="center" vertical="center"/>
    </xf>
    <xf numFmtId="0" fontId="16" fillId="15" borderId="0" xfId="2" applyFont="1" applyFill="1" applyBorder="1" applyAlignment="1">
      <alignment vertical="center"/>
    </xf>
    <xf numFmtId="0" fontId="15" fillId="15" borderId="0" xfId="0" applyFont="1" applyFill="1" applyAlignment="1">
      <alignment vertical="center" wrapText="1"/>
    </xf>
    <xf numFmtId="0" fontId="47" fillId="16" borderId="0" xfId="0" applyFont="1" applyFill="1"/>
    <xf numFmtId="0" fontId="48" fillId="17" borderId="0" xfId="0" applyFont="1" applyFill="1"/>
    <xf numFmtId="0" fontId="47" fillId="0" borderId="0" xfId="0" applyFont="1"/>
    <xf numFmtId="0" fontId="10" fillId="18" borderId="0" xfId="2" applyFill="1"/>
    <xf numFmtId="0" fontId="49" fillId="18" borderId="0" xfId="0" applyFont="1" applyFill="1"/>
    <xf numFmtId="0" fontId="47" fillId="18" borderId="0" xfId="0" applyFont="1" applyFill="1"/>
    <xf numFmtId="0" fontId="49" fillId="0" borderId="0" xfId="0" applyFont="1"/>
    <xf numFmtId="0" fontId="50" fillId="0" borderId="0" xfId="0" applyFont="1"/>
    <xf numFmtId="0" fontId="51" fillId="18" borderId="0" xfId="0" applyFont="1" applyFill="1"/>
    <xf numFmtId="0" fontId="50" fillId="18" borderId="0" xfId="0" applyFont="1" applyFill="1"/>
    <xf numFmtId="0" fontId="47" fillId="19" borderId="0" xfId="0" applyFont="1" applyFill="1"/>
    <xf numFmtId="0" fontId="53" fillId="0" borderId="0" xfId="0" applyFont="1" applyAlignment="1">
      <alignment vertical="center"/>
    </xf>
    <xf numFmtId="0" fontId="17" fillId="15" borderId="0" xfId="0" applyFont="1" applyFill="1" applyAlignment="1">
      <alignment vertical="center" wrapText="1"/>
    </xf>
    <xf numFmtId="0" fontId="17" fillId="15" borderId="0" xfId="0" applyFont="1" applyFill="1" applyAlignment="1">
      <alignment horizontal="center" vertical="center"/>
    </xf>
    <xf numFmtId="0" fontId="52" fillId="6" borderId="0" xfId="0" applyFont="1" applyFill="1"/>
    <xf numFmtId="0" fontId="10" fillId="0" borderId="0" xfId="2" applyAlignment="1">
      <alignment horizontal="left" vertical="center" wrapText="1" indent="1"/>
    </xf>
    <xf numFmtId="0" fontId="55" fillId="0" borderId="0" xfId="0" applyFont="1" applyAlignment="1">
      <alignment horizontal="left" vertical="center" wrapText="1" indent="1"/>
    </xf>
    <xf numFmtId="0" fontId="54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0" fillId="22" borderId="0" xfId="0" applyFill="1" applyAlignment="1">
      <alignment vertical="center"/>
    </xf>
    <xf numFmtId="0" fontId="0" fillId="22" borderId="0" xfId="0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19" fillId="22" borderId="0" xfId="0" applyFont="1" applyFill="1"/>
    <xf numFmtId="0" fontId="15" fillId="22" borderId="0" xfId="0" applyFont="1" applyFill="1" applyAlignment="1">
      <alignment vertical="center" wrapText="1"/>
    </xf>
    <xf numFmtId="0" fontId="42" fillId="22" borderId="0" xfId="0" applyFont="1" applyFill="1" applyAlignment="1">
      <alignment horizontal="center"/>
    </xf>
    <xf numFmtId="0" fontId="10" fillId="22" borderId="0" xfId="2" applyFill="1" applyAlignment="1">
      <alignment vertical="center"/>
    </xf>
    <xf numFmtId="0" fontId="0" fillId="22" borderId="0" xfId="0" applyFill="1"/>
    <xf numFmtId="0" fontId="0" fillId="23" borderId="0" xfId="0" applyFill="1" applyAlignment="1">
      <alignment vertical="center"/>
    </xf>
    <xf numFmtId="0" fontId="3" fillId="23" borderId="0" xfId="0" applyFont="1" applyFill="1" applyAlignment="1">
      <alignment vertical="center"/>
    </xf>
    <xf numFmtId="0" fontId="12" fillId="23" borderId="0" xfId="0" applyFont="1" applyFill="1" applyAlignment="1">
      <alignment vertical="center" wrapText="1"/>
    </xf>
    <xf numFmtId="0" fontId="12" fillId="23" borderId="0" xfId="0" applyFont="1" applyFill="1" applyAlignment="1">
      <alignment horizontal="left" vertical="center" indent="1"/>
    </xf>
    <xf numFmtId="0" fontId="11" fillId="23" borderId="0" xfId="0" applyFont="1" applyFill="1" applyAlignment="1">
      <alignment vertical="center"/>
    </xf>
    <xf numFmtId="0" fontId="11" fillId="23" borderId="0" xfId="0" applyFont="1" applyFill="1" applyAlignment="1">
      <alignment vertical="center" wrapText="1"/>
    </xf>
    <xf numFmtId="0" fontId="37" fillId="23" borderId="0" xfId="0" applyFont="1" applyFill="1" applyAlignment="1">
      <alignment horizontal="left" vertical="center" indent="1"/>
    </xf>
    <xf numFmtId="0" fontId="15" fillId="23" borderId="0" xfId="0" applyFont="1" applyFill="1" applyAlignment="1">
      <alignment vertical="center" wrapText="1"/>
    </xf>
    <xf numFmtId="0" fontId="15" fillId="23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18" fillId="23" borderId="0" xfId="0" applyFont="1" applyFill="1" applyAlignment="1">
      <alignment vertical="center"/>
    </xf>
    <xf numFmtId="0" fontId="41" fillId="23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center" vertical="center"/>
    </xf>
    <xf numFmtId="0" fontId="10" fillId="22" borderId="0" xfId="2" applyFill="1" applyBorder="1" applyAlignment="1">
      <alignment vertical="center"/>
    </xf>
    <xf numFmtId="0" fontId="41" fillId="22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left" vertical="top" wrapText="1"/>
    </xf>
    <xf numFmtId="0" fontId="15" fillId="22" borderId="0" xfId="0" applyFont="1" applyFill="1" applyAlignment="1">
      <alignment vertical="center"/>
    </xf>
    <xf numFmtId="0" fontId="16" fillId="22" borderId="0" xfId="2" applyFont="1" applyFill="1" applyBorder="1" applyAlignment="1">
      <alignment vertical="center"/>
    </xf>
    <xf numFmtId="0" fontId="17" fillId="22" borderId="0" xfId="0" applyFont="1" applyFill="1" applyAlignment="1">
      <alignment vertical="center" wrapText="1"/>
    </xf>
    <xf numFmtId="0" fontId="43" fillId="6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left" vertical="center" indent="1"/>
    </xf>
    <xf numFmtId="0" fontId="15" fillId="22" borderId="0" xfId="0" applyFont="1" applyFill="1" applyAlignment="1">
      <alignment wrapText="1"/>
    </xf>
    <xf numFmtId="0" fontId="10" fillId="22" borderId="0" xfId="2" applyFill="1" applyBorder="1" applyAlignment="1">
      <alignment horizontal="left" vertical="center"/>
    </xf>
    <xf numFmtId="0" fontId="15" fillId="22" borderId="0" xfId="0" applyFont="1" applyFill="1" applyAlignment="1">
      <alignment horizontal="left" vertical="center" wrapText="1"/>
    </xf>
    <xf numFmtId="0" fontId="14" fillId="22" borderId="0" xfId="0" applyFont="1" applyFill="1" applyAlignment="1">
      <alignment horizontal="left" vertical="center"/>
    </xf>
    <xf numFmtId="0" fontId="57" fillId="6" borderId="0" xfId="0" applyFont="1" applyFill="1"/>
    <xf numFmtId="0" fontId="57" fillId="6" borderId="0" xfId="0" applyFont="1" applyFill="1" applyAlignment="1">
      <alignment horizontal="center"/>
    </xf>
    <xf numFmtId="0" fontId="2" fillId="0" borderId="0" xfId="0" applyFont="1"/>
    <xf numFmtId="0" fontId="57" fillId="0" borderId="0" xfId="0" applyFont="1" applyAlignment="1">
      <alignment horizontal="center"/>
    </xf>
    <xf numFmtId="0" fontId="58" fillId="0" borderId="0" xfId="2" applyFont="1" applyAlignment="1">
      <alignment vertical="center"/>
    </xf>
    <xf numFmtId="0" fontId="57" fillId="6" borderId="0" xfId="0" applyFont="1" applyFill="1" applyAlignment="1">
      <alignment vertical="center"/>
    </xf>
    <xf numFmtId="0" fontId="59" fillId="6" borderId="0" xfId="2" applyFont="1" applyFill="1"/>
    <xf numFmtId="0" fontId="60" fillId="6" borderId="0" xfId="0" applyFont="1" applyFill="1" applyAlignment="1">
      <alignment vertical="center"/>
    </xf>
    <xf numFmtId="0" fontId="61" fillId="6" borderId="0" xfId="0" applyFont="1" applyFill="1" applyAlignment="1">
      <alignment horizontal="center" vertical="center"/>
    </xf>
    <xf numFmtId="0" fontId="61" fillId="6" borderId="0" xfId="0" applyFont="1" applyFill="1" applyAlignment="1">
      <alignment horizontal="left" vertical="center" indent="1"/>
    </xf>
    <xf numFmtId="0" fontId="59" fillId="6" borderId="0" xfId="2" applyFont="1" applyFill="1" applyBorder="1" applyAlignment="1">
      <alignment vertical="center"/>
    </xf>
    <xf numFmtId="0" fontId="61" fillId="6" borderId="0" xfId="0" applyFont="1" applyFill="1" applyAlignment="1">
      <alignment vertical="center" wrapText="1"/>
    </xf>
    <xf numFmtId="0" fontId="62" fillId="6" borderId="0" xfId="0" applyFont="1" applyFill="1" applyAlignment="1">
      <alignment horizontal="center" vertical="center"/>
    </xf>
    <xf numFmtId="0" fontId="61" fillId="6" borderId="0" xfId="0" applyFont="1" applyFill="1" applyAlignment="1">
      <alignment vertical="center"/>
    </xf>
    <xf numFmtId="0" fontId="2" fillId="20" borderId="0" xfId="0" applyFont="1" applyFill="1"/>
    <xf numFmtId="0" fontId="2" fillId="15" borderId="0" xfId="0" applyFont="1" applyFill="1"/>
    <xf numFmtId="0" fontId="57" fillId="15" borderId="0" xfId="0" applyFont="1" applyFill="1" applyAlignment="1">
      <alignment horizontal="center"/>
    </xf>
    <xf numFmtId="0" fontId="2" fillId="21" borderId="0" xfId="0" applyFont="1" applyFill="1" applyAlignment="1">
      <alignment vertical="center"/>
    </xf>
    <xf numFmtId="0" fontId="57" fillId="21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left" vertical="center"/>
    </xf>
    <xf numFmtId="0" fontId="58" fillId="15" borderId="0" xfId="2" applyFont="1" applyFill="1"/>
    <xf numFmtId="0" fontId="61" fillId="15" borderId="0" xfId="0" applyFont="1" applyFill="1" applyAlignment="1">
      <alignment horizontal="left" vertical="center" wrapText="1"/>
    </xf>
    <xf numFmtId="0" fontId="13" fillId="15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/>
    </xf>
    <xf numFmtId="0" fontId="2" fillId="21" borderId="0" xfId="0" applyFont="1" applyFill="1"/>
    <xf numFmtId="0" fontId="57" fillId="21" borderId="0" xfId="0" applyFont="1" applyFill="1" applyAlignment="1">
      <alignment horizontal="center"/>
    </xf>
    <xf numFmtId="0" fontId="13" fillId="21" borderId="0" xfId="0" applyFont="1" applyFill="1" applyAlignment="1">
      <alignment vertical="center"/>
    </xf>
    <xf numFmtId="0" fontId="58" fillId="21" borderId="0" xfId="2" applyFont="1" applyFill="1" applyAlignment="1">
      <alignment wrapText="1"/>
    </xf>
    <xf numFmtId="0" fontId="13" fillId="21" borderId="0" xfId="0" applyFont="1" applyFill="1" applyAlignment="1">
      <alignment vertical="center" wrapText="1"/>
    </xf>
    <xf numFmtId="0" fontId="57" fillId="21" borderId="0" xfId="0" applyFont="1" applyFill="1" applyAlignment="1">
      <alignment horizontal="center" wrapText="1"/>
    </xf>
    <xf numFmtId="0" fontId="61" fillId="21" borderId="0" xfId="0" applyFont="1" applyFill="1" applyAlignment="1">
      <alignment horizontal="center" vertical="center"/>
    </xf>
    <xf numFmtId="0" fontId="58" fillId="21" borderId="0" xfId="2" applyFont="1" applyFill="1"/>
    <xf numFmtId="0" fontId="63" fillId="21" borderId="0" xfId="0" applyFont="1" applyFill="1" applyAlignment="1">
      <alignment vertical="center"/>
    </xf>
    <xf numFmtId="0" fontId="59" fillId="21" borderId="0" xfId="2" applyFont="1" applyFill="1" applyAlignment="1">
      <alignment horizontal="center"/>
    </xf>
    <xf numFmtId="0" fontId="58" fillId="21" borderId="0" xfId="2" applyFont="1" applyFill="1" applyAlignment="1">
      <alignment vertical="center"/>
    </xf>
    <xf numFmtId="0" fontId="3" fillId="0" borderId="0" xfId="0" applyFont="1" applyAlignment="1">
      <alignment horizontal="center"/>
    </xf>
    <xf numFmtId="0" fontId="54" fillId="6" borderId="0" xfId="0" applyFont="1" applyFill="1" applyAlignment="1">
      <alignment vertical="center" wrapText="1"/>
    </xf>
    <xf numFmtId="0" fontId="0" fillId="24" borderId="0" xfId="0" applyFill="1"/>
    <xf numFmtId="0" fontId="3" fillId="24" borderId="0" xfId="0" applyFont="1" applyFill="1" applyAlignment="1">
      <alignment horizontal="center"/>
    </xf>
    <xf numFmtId="0" fontId="44" fillId="24" borderId="0" xfId="0" applyFont="1" applyFill="1"/>
    <xf numFmtId="0" fontId="15" fillId="24" borderId="0" xfId="0" applyFont="1" applyFill="1" applyAlignment="1">
      <alignment vertical="center" wrapText="1"/>
    </xf>
    <xf numFmtId="0" fontId="64" fillId="22" borderId="0" xfId="2" applyFont="1" applyFill="1" applyBorder="1" applyAlignment="1">
      <alignment horizontal="left" vertical="center"/>
    </xf>
    <xf numFmtId="0" fontId="0" fillId="24" borderId="0" xfId="0" applyFill="1" applyAlignment="1">
      <alignment vertical="center"/>
    </xf>
    <xf numFmtId="0" fontId="15" fillId="24" borderId="0" xfId="0" applyFont="1" applyFill="1" applyAlignment="1">
      <alignment horizontal="center" vertical="center"/>
    </xf>
    <xf numFmtId="0" fontId="17" fillId="24" borderId="0" xfId="0" applyFont="1" applyFill="1" applyAlignment="1">
      <alignment horizontal="left" vertical="center" indent="1"/>
    </xf>
    <xf numFmtId="0" fontId="25" fillId="24" borderId="0" xfId="0" applyFont="1" applyFill="1"/>
    <xf numFmtId="0" fontId="41" fillId="24" borderId="0" xfId="0" applyFont="1" applyFill="1" applyAlignment="1">
      <alignment horizontal="center" vertical="center"/>
    </xf>
    <xf numFmtId="0" fontId="15" fillId="24" borderId="0" xfId="0" applyFont="1" applyFill="1" applyAlignment="1">
      <alignment vertical="center"/>
    </xf>
    <xf numFmtId="0" fontId="15" fillId="24" borderId="0" xfId="0" applyFont="1" applyFill="1" applyAlignment="1">
      <alignment wrapText="1"/>
    </xf>
    <xf numFmtId="0" fontId="65" fillId="0" borderId="0" xfId="0" applyFont="1" applyAlignment="1">
      <alignment vertical="center" wrapText="1"/>
    </xf>
    <xf numFmtId="170" fontId="35" fillId="25" borderId="0" xfId="0" applyNumberFormat="1" applyFont="1" applyFill="1"/>
    <xf numFmtId="172" fontId="68" fillId="32" borderId="5" xfId="0" applyNumberFormat="1" applyFont="1" applyFill="1" applyBorder="1" applyAlignment="1">
      <alignment horizontal="right" vertical="center"/>
    </xf>
    <xf numFmtId="4" fontId="0" fillId="0" borderId="0" xfId="0" applyNumberFormat="1"/>
    <xf numFmtId="172" fontId="68" fillId="33" borderId="5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72" fontId="69" fillId="28" borderId="5" xfId="0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vertical="center"/>
    </xf>
    <xf numFmtId="0" fontId="66" fillId="34" borderId="5" xfId="0" applyFont="1" applyFill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 wrapText="1"/>
    </xf>
    <xf numFmtId="172" fontId="67" fillId="0" borderId="5" xfId="0" applyNumberFormat="1" applyFont="1" applyBorder="1" applyAlignment="1">
      <alignment horizontal="right"/>
    </xf>
    <xf numFmtId="0" fontId="67" fillId="2" borderId="5" xfId="0" applyFont="1" applyFill="1" applyBorder="1" applyAlignment="1">
      <alignment horizontal="left" vertical="center" wrapText="1"/>
    </xf>
    <xf numFmtId="0" fontId="67" fillId="2" borderId="5" xfId="0" applyFont="1" applyFill="1" applyBorder="1" applyAlignment="1">
      <alignment horizontal="center" vertical="center"/>
    </xf>
    <xf numFmtId="172" fontId="67" fillId="2" borderId="5" xfId="0" applyNumberFormat="1" applyFont="1" applyFill="1" applyBorder="1" applyAlignment="1">
      <alignment horizontal="right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 wrapText="1"/>
    </xf>
    <xf numFmtId="172" fontId="66" fillId="34" borderId="5" xfId="0" applyNumberFormat="1" applyFont="1" applyFill="1" applyBorder="1" applyAlignment="1">
      <alignment horizontal="right"/>
    </xf>
    <xf numFmtId="3" fontId="0" fillId="2" borderId="0" xfId="0" applyNumberFormat="1" applyFill="1"/>
    <xf numFmtId="0" fontId="73" fillId="28" borderId="5" xfId="0" applyFont="1" applyFill="1" applyBorder="1" applyAlignment="1">
      <alignment horizontal="center" vertical="center" wrapText="1"/>
    </xf>
    <xf numFmtId="0" fontId="33" fillId="30" borderId="5" xfId="0" applyFont="1" applyFill="1" applyBorder="1" applyAlignment="1">
      <alignment horizontal="center" vertical="center" wrapText="1"/>
    </xf>
    <xf numFmtId="0" fontId="33" fillId="30" borderId="5" xfId="0" applyFont="1" applyFill="1" applyBorder="1" applyAlignment="1">
      <alignment horizontal="left" vertical="center" wrapText="1"/>
    </xf>
    <xf numFmtId="0" fontId="33" fillId="31" borderId="5" xfId="0" applyFont="1" applyFill="1" applyBorder="1" applyAlignment="1">
      <alignment horizontal="left" vertical="center" wrapText="1"/>
    </xf>
    <xf numFmtId="0" fontId="28" fillId="31" borderId="5" xfId="0" applyFont="1" applyFill="1" applyBorder="1" applyAlignment="1">
      <alignment horizontal="right"/>
    </xf>
    <xf numFmtId="172" fontId="28" fillId="31" borderId="5" xfId="0" applyNumberFormat="1" applyFont="1" applyFill="1" applyBorder="1" applyAlignment="1">
      <alignment horizontal="right" vertical="center" wrapText="1"/>
    </xf>
    <xf numFmtId="4" fontId="26" fillId="30" borderId="5" xfId="0" applyNumberFormat="1" applyFont="1" applyFill="1" applyBorder="1" applyAlignment="1">
      <alignment horizontal="right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left" vertical="center" wrapText="1"/>
    </xf>
    <xf numFmtId="4" fontId="26" fillId="2" borderId="5" xfId="0" applyNumberFormat="1" applyFont="1" applyFill="1" applyBorder="1" applyAlignment="1">
      <alignment horizontal="right" vertical="center" wrapText="1"/>
    </xf>
    <xf numFmtId="4" fontId="26" fillId="30" borderId="5" xfId="0" applyNumberFormat="1" applyFont="1" applyFill="1" applyBorder="1" applyAlignment="1">
      <alignment horizontal="center"/>
    </xf>
    <xf numFmtId="4" fontId="28" fillId="31" borderId="5" xfId="0" applyNumberFormat="1" applyFont="1" applyFill="1" applyBorder="1" applyAlignment="1">
      <alignment horizontal="right" vertical="center" wrapText="1"/>
    </xf>
    <xf numFmtId="0" fontId="33" fillId="6" borderId="8" xfId="0" applyFont="1" applyFill="1" applyBorder="1" applyAlignment="1">
      <alignment horizontal="center" vertical="center" wrapText="1"/>
    </xf>
    <xf numFmtId="172" fontId="3" fillId="0" borderId="0" xfId="0" applyNumberFormat="1" applyFont="1"/>
    <xf numFmtId="0" fontId="75" fillId="0" borderId="5" xfId="0" applyFont="1" applyBorder="1" applyAlignment="1">
      <alignment horizontal="left" vertical="center" wrapText="1"/>
    </xf>
    <xf numFmtId="0" fontId="71" fillId="34" borderId="0" xfId="0" applyFont="1" applyFill="1" applyAlignment="1">
      <alignment horizontal="center" vertical="center"/>
    </xf>
    <xf numFmtId="0" fontId="0" fillId="0" borderId="0" xfId="0"/>
    <xf numFmtId="0" fontId="66" fillId="35" borderId="5" xfId="0" applyFont="1" applyFill="1" applyBorder="1" applyAlignment="1">
      <alignment horizontal="left" vertical="center" indent="1"/>
    </xf>
    <xf numFmtId="0" fontId="66" fillId="34" borderId="5" xfId="0" applyFont="1" applyFill="1" applyBorder="1" applyAlignment="1">
      <alignment horizontal="right" vertical="center"/>
    </xf>
    <xf numFmtId="0" fontId="73" fillId="29" borderId="5" xfId="0" applyFont="1" applyFill="1" applyBorder="1" applyAlignment="1">
      <alignment horizontal="left" vertical="center" indent="1"/>
    </xf>
    <xf numFmtId="0" fontId="24" fillId="0" borderId="0" xfId="0" applyFont="1"/>
    <xf numFmtId="0" fontId="68" fillId="32" borderId="5" xfId="0" applyFont="1" applyFill="1" applyBorder="1" applyAlignment="1">
      <alignment horizontal="right" vertical="center"/>
    </xf>
    <xf numFmtId="0" fontId="68" fillId="33" borderId="5" xfId="0" applyFont="1" applyFill="1" applyBorder="1" applyAlignment="1">
      <alignment horizontal="right" vertical="center"/>
    </xf>
    <xf numFmtId="0" fontId="69" fillId="28" borderId="5" xfId="0" applyFont="1" applyFill="1" applyBorder="1" applyAlignment="1">
      <alignment horizontal="right" vertical="center"/>
    </xf>
    <xf numFmtId="0" fontId="70" fillId="26" borderId="5" xfId="0" applyFont="1" applyFill="1" applyBorder="1" applyAlignment="1">
      <alignment horizontal="left" vertical="center" wrapText="1" indent="1"/>
    </xf>
    <xf numFmtId="0" fontId="72" fillId="27" borderId="0" xfId="0" applyFont="1" applyFill="1" applyAlignment="1">
      <alignment horizontal="center" vertical="center"/>
    </xf>
    <xf numFmtId="4" fontId="33" fillId="30" borderId="6" xfId="0" applyNumberFormat="1" applyFont="1" applyFill="1" applyBorder="1" applyAlignment="1">
      <alignment horizontal="right" vertical="center" wrapText="1"/>
    </xf>
    <xf numFmtId="4" fontId="33" fillId="30" borderId="7" xfId="0" applyNumberFormat="1" applyFont="1" applyFill="1" applyBorder="1" applyAlignment="1">
      <alignment horizontal="right" vertical="center" wrapText="1"/>
    </xf>
    <xf numFmtId="0" fontId="74" fillId="26" borderId="5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center"/>
    </xf>
  </cellXfs>
  <cellStyles count="5">
    <cellStyle name="Comma" xfId="1" builtinId="3"/>
    <cellStyle name="Currency" xfId="4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n Greve-Isdahl" id="{CD4676DB-B04C-445E-BC12-3C1ECE6E1044}" userId="karin.greve-isdahl@innovationnorway.no" providerId="PeoplePicker"/>
  <person displayName="Hai Tien Le" id="{C9FE6BAE-0EA0-4CFF-95EA-BAEBE571C7AA}" userId="S::hai.tien.le@innovationnorway.no::5051160d-67c2-46db-b436-3eee56390426" providerId="AD"/>
  <person displayName="Dat Tuan Nguyen" id="{E1E2E557-DBFA-4915-BB75-8BB8771961CA}" userId="S::dat.tuan.nguyen@innovationnorway.no::dab9e78a-a9a6-40b7-9a60-566a97a150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3-02T04:00:20.25" personId="{E1E2E557-DBFA-4915-BB75-8BB8771961CA}" id="{ACADB44F-CEC0-45DF-BEB5-EEACF8D88321}">
    <text>Hello @Karin Greve-Isdahl  I put Pico quotation on this sheet</text>
    <mentions>
      <mention mentionpersonId="{CD4676DB-B04C-445E-BC12-3C1ECE6E1044}" mentionId="{817DCE24-699F-49BF-B2EF-06A4F2D238E0}" startIndex="6" length="19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3" dT="2025-11-04T09:26:07.52" personId="{C9FE6BAE-0EA0-4CFF-95EA-BAEBE571C7AA}" id="{A22EC3B4-758F-4F61-ADB3-1908F2F4CC06}">
    <text>wrong email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terese@lca.no" TargetMode="External"/><Relationship Id="rId18" Type="http://schemas.openxmlformats.org/officeDocument/2006/relationships/hyperlink" Target="mailto:yst@uac.no" TargetMode="External"/><Relationship Id="rId26" Type="http://schemas.openxmlformats.org/officeDocument/2006/relationships/hyperlink" Target="mailto:Rune.Kristensen@nov.com" TargetMode="External"/><Relationship Id="rId39" Type="http://schemas.openxmlformats.org/officeDocument/2006/relationships/hyperlink" Target="mailto:frank.vollen@safetec.no" TargetMode="External"/><Relationship Id="rId21" Type="http://schemas.openxmlformats.org/officeDocument/2006/relationships/hyperlink" Target="mailto:mis@tcmda.com" TargetMode="External"/><Relationship Id="rId34" Type="http://schemas.openxmlformats.org/officeDocument/2006/relationships/hyperlink" Target="mailto:ka-mun.lam@cognite.com" TargetMode="External"/><Relationship Id="rId42" Type="http://schemas.openxmlformats.org/officeDocument/2006/relationships/vmlDrawing" Target="../drawings/vmlDrawing2.vml"/><Relationship Id="rId7" Type="http://schemas.openxmlformats.org/officeDocument/2006/relationships/hyperlink" Target="mailto:carsten.hagane@passer.no" TargetMode="External"/><Relationship Id="rId2" Type="http://schemas.openxmlformats.org/officeDocument/2006/relationships/hyperlink" Target="mailto:martin.nese@cignus.com" TargetMode="External"/><Relationship Id="rId16" Type="http://schemas.openxmlformats.org/officeDocument/2006/relationships/hyperlink" Target="mailto:estavseng@capturi.slb.com" TargetMode="External"/><Relationship Id="rId20" Type="http://schemas.openxmlformats.org/officeDocument/2006/relationships/hyperlink" Target="mailto:&#160;mis@tcmda.com" TargetMode="External"/><Relationship Id="rId29" Type="http://schemas.openxmlformats.org/officeDocument/2006/relationships/hyperlink" Target="mailto:Tom.Haylock@sharecat.com" TargetMode="External"/><Relationship Id="rId41" Type="http://schemas.openxmlformats.org/officeDocument/2006/relationships/hyperlink" Target="mailto:janne.berglund@daphnetech.com" TargetMode="External"/><Relationship Id="rId1" Type="http://schemas.openxmlformats.org/officeDocument/2006/relationships/hyperlink" Target="mailto:michele.zitti@yara.com" TargetMode="External"/><Relationship Id="rId6" Type="http://schemas.openxmlformats.org/officeDocument/2006/relationships/hyperlink" Target="mailto:kes@bpt.no" TargetMode="External"/><Relationship Id="rId11" Type="http://schemas.openxmlformats.org/officeDocument/2006/relationships/hyperlink" Target="mailto:gabriel.gjessing@ecoenergy.no" TargetMode="External"/><Relationship Id="rId24" Type="http://schemas.openxmlformats.org/officeDocument/2006/relationships/hyperlink" Target="mailto:Stig.Botker@alterainfra.com" TargetMode="External"/><Relationship Id="rId32" Type="http://schemas.openxmlformats.org/officeDocument/2006/relationships/hyperlink" Target="mailto:essie.amire@carrier.com" TargetMode="External"/><Relationship Id="rId37" Type="http://schemas.openxmlformats.org/officeDocument/2006/relationships/hyperlink" Target="mailto:Iain.Hill@firenor.com" TargetMode="External"/><Relationship Id="rId40" Type="http://schemas.openxmlformats.org/officeDocument/2006/relationships/hyperlink" Target="mailto:cph@csub.com" TargetMode="External"/><Relationship Id="rId5" Type="http://schemas.openxmlformats.org/officeDocument/2006/relationships/hyperlink" Target="mailto:Isabelle.Oh@dnv.com" TargetMode="External"/><Relationship Id="rId15" Type="http://schemas.openxmlformats.org/officeDocument/2006/relationships/hyperlink" Target="mailto:ann.helen@kamos.no" TargetMode="External"/><Relationship Id="rId23" Type="http://schemas.openxmlformats.org/officeDocument/2006/relationships/hyperlink" Target="mailto:trine.stolsnes@aize.io" TargetMode="External"/><Relationship Id="rId28" Type="http://schemas.openxmlformats.org/officeDocument/2006/relationships/hyperlink" Target="mailto:Annette.Hultin@norconsult.com" TargetMode="External"/><Relationship Id="rId36" Type="http://schemas.openxmlformats.org/officeDocument/2006/relationships/hyperlink" Target="mailto:per.erik.berger@coreall.no" TargetMode="External"/><Relationship Id="rId10" Type="http://schemas.openxmlformats.org/officeDocument/2006/relationships/hyperlink" Target="mailto:roar.hernes@tunable.com" TargetMode="External"/><Relationship Id="rId19" Type="http://schemas.openxmlformats.org/officeDocument/2006/relationships/hyperlink" Target="mailto:erik.bolstad@hydrogenpro.com" TargetMode="External"/><Relationship Id="rId31" Type="http://schemas.openxmlformats.org/officeDocument/2006/relationships/hyperlink" Target="mailto:Tobias.Arns@akersolutions.com" TargetMode="External"/><Relationship Id="rId44" Type="http://schemas.microsoft.com/office/2017/10/relationships/threadedComment" Target="../threadedComments/threadedComment2.xml"/><Relationship Id="rId4" Type="http://schemas.openxmlformats.org/officeDocument/2006/relationships/hyperlink" Target="mailto:Jarle.Michaelsen@cyient.com" TargetMode="External"/><Relationship Id="rId9" Type="http://schemas.openxmlformats.org/officeDocument/2006/relationships/hyperlink" Target="mailto:essie.amire@carrier.com" TargetMode="External"/><Relationship Id="rId14" Type="http://schemas.openxmlformats.org/officeDocument/2006/relationships/hyperlink" Target="mailto:somal@equinor.com%20lihje@equinor.com" TargetMode="External"/><Relationship Id="rId22" Type="http://schemas.openxmlformats.org/officeDocument/2006/relationships/hyperlink" Target="mailto:anders.melhus@varenergi.no" TargetMode="External"/><Relationship Id="rId27" Type="http://schemas.openxmlformats.org/officeDocument/2006/relationships/hyperlink" Target="mailto:stein.foss@lntmarine.com" TargetMode="External"/><Relationship Id="rId30" Type="http://schemas.openxmlformats.org/officeDocument/2006/relationships/hyperlink" Target="https://www.eldenergy.com/about" TargetMode="External"/><Relationship Id="rId35" Type="http://schemas.openxmlformats.org/officeDocument/2006/relationships/hyperlink" Target="mailto:paal.braathen@lattice-technology.com" TargetMode="External"/><Relationship Id="rId43" Type="http://schemas.openxmlformats.org/officeDocument/2006/relationships/comments" Target="../comments2.xml"/><Relationship Id="rId8" Type="http://schemas.openxmlformats.org/officeDocument/2006/relationships/hyperlink" Target="mailto:gh@framo.no" TargetMode="External"/><Relationship Id="rId3" Type="http://schemas.openxmlformats.org/officeDocument/2006/relationships/hyperlink" Target="mailto:tatiana.kuroki@viposolutions.com%22%20%3ctatiana.kuroki@viposolutions.com" TargetMode="External"/><Relationship Id="rId12" Type="http://schemas.openxmlformats.org/officeDocument/2006/relationships/hyperlink" Target="mailto:Chiara.Caccamo@sintef.no" TargetMode="External"/><Relationship Id="rId17" Type="http://schemas.openxmlformats.org/officeDocument/2006/relationships/hyperlink" Target="mailto:estavseng@capturi.slb.com" TargetMode="External"/><Relationship Id="rId25" Type="http://schemas.openxmlformats.org/officeDocument/2006/relationships/hyperlink" Target="mailto:tallak.bakken@otechos.com" TargetMode="External"/><Relationship Id="rId33" Type="http://schemas.openxmlformats.org/officeDocument/2006/relationships/hyperlink" Target="mailto:thoregil.hafnor@spectrum-safety.com" TargetMode="External"/><Relationship Id="rId38" Type="http://schemas.openxmlformats.org/officeDocument/2006/relationships/hyperlink" Target="mailto:andre@oliasoft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nja.Bilsbak@clampon.com" TargetMode="External"/><Relationship Id="rId13" Type="http://schemas.openxmlformats.org/officeDocument/2006/relationships/hyperlink" Target="mailto:Rune.Kristensen@nov.com" TargetMode="External"/><Relationship Id="rId3" Type="http://schemas.openxmlformats.org/officeDocument/2006/relationships/hyperlink" Target="mailto:Stig.Botker@alterainfra.com" TargetMode="External"/><Relationship Id="rId7" Type="http://schemas.openxmlformats.org/officeDocument/2006/relationships/hyperlink" Target="mailto:tallak.bakken@otechos.com" TargetMode="External"/><Relationship Id="rId12" Type="http://schemas.openxmlformats.org/officeDocument/2006/relationships/hyperlink" Target="mailto:oen@uac.no" TargetMode="External"/><Relationship Id="rId2" Type="http://schemas.openxmlformats.org/officeDocument/2006/relationships/hyperlink" Target="mailto:Zoe.Drysdale@akersolutions.com" TargetMode="External"/><Relationship Id="rId1" Type="http://schemas.openxmlformats.org/officeDocument/2006/relationships/hyperlink" Target="mailto:jorgen.svare@hydrogen-mem-tech.com" TargetMode="External"/><Relationship Id="rId6" Type="http://schemas.openxmlformats.org/officeDocument/2006/relationships/hyperlink" Target="mailto:ottar.kirkeberg@passer.no" TargetMode="External"/><Relationship Id="rId11" Type="http://schemas.openxmlformats.org/officeDocument/2006/relationships/hyperlink" Target="mailto:trine.stolsnes@aize.io" TargetMode="External"/><Relationship Id="rId5" Type="http://schemas.openxmlformats.org/officeDocument/2006/relationships/hyperlink" Target="mailto:Tom.Haylock@sharecat.com" TargetMode="External"/><Relationship Id="rId15" Type="http://schemas.openxmlformats.org/officeDocument/2006/relationships/hyperlink" Target="mailto:Annette.Hultin@norconsult.com" TargetMode="External"/><Relationship Id="rId10" Type="http://schemas.openxmlformats.org/officeDocument/2006/relationships/hyperlink" Target="mailto:Essie.amire@carrier.com" TargetMode="External"/><Relationship Id="rId4" Type="http://schemas.openxmlformats.org/officeDocument/2006/relationships/hyperlink" Target="mailto:karianne.hartviksen@ecoenergy.no" TargetMode="External"/><Relationship Id="rId9" Type="http://schemas.openxmlformats.org/officeDocument/2006/relationships/hyperlink" Target="mailto:roar.hernes@tunable.com" TargetMode="External"/><Relationship Id="rId14" Type="http://schemas.openxmlformats.org/officeDocument/2006/relationships/hyperlink" Target="mailto:stein.foss@lntmarine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5C65-E2FF-43D7-B849-1CB6682F10AD}">
  <dimension ref="A1:G64"/>
  <sheetViews>
    <sheetView zoomScale="189" zoomScaleNormal="189" workbookViewId="0">
      <pane ySplit="2" topLeftCell="A54" activePane="bottomLeft" state="frozen"/>
      <selection pane="bottomLeft" activeCell="C55" sqref="C55"/>
    </sheetView>
  </sheetViews>
  <sheetFormatPr defaultColWidth="10.90625" defaultRowHeight="14.5" x14ac:dyDescent="0.35"/>
  <cols>
    <col min="1" max="1" width="6" customWidth="1"/>
    <col min="2" max="2" width="8" customWidth="1"/>
    <col min="3" max="3" width="52" customWidth="1"/>
    <col min="4" max="4" width="14" customWidth="1"/>
    <col min="5" max="5" width="16" customWidth="1"/>
    <col min="6" max="6" width="12.81640625" customWidth="1"/>
    <col min="7" max="7" width="9.81640625" bestFit="1" customWidth="1"/>
  </cols>
  <sheetData>
    <row r="1" spans="1:7" x14ac:dyDescent="0.35">
      <c r="A1" s="305" t="s">
        <v>345</v>
      </c>
      <c r="B1" s="300"/>
      <c r="C1" s="300"/>
      <c r="D1" s="300"/>
      <c r="E1" s="300"/>
    </row>
    <row r="2" spans="1:7" x14ac:dyDescent="0.35">
      <c r="A2" s="280" t="s">
        <v>346</v>
      </c>
      <c r="B2" s="280" t="s">
        <v>347</v>
      </c>
      <c r="C2" s="280" t="s">
        <v>348</v>
      </c>
      <c r="D2" s="280" t="s">
        <v>349</v>
      </c>
      <c r="E2" s="280" t="s">
        <v>350</v>
      </c>
    </row>
    <row r="3" spans="1:7" x14ac:dyDescent="0.35">
      <c r="A3" s="299" t="s">
        <v>351</v>
      </c>
      <c r="B3" s="300"/>
      <c r="C3" s="300"/>
      <c r="D3" s="300"/>
      <c r="E3" s="300"/>
    </row>
    <row r="4" spans="1:7" ht="29" x14ac:dyDescent="0.35">
      <c r="A4" s="281" t="s">
        <v>0</v>
      </c>
      <c r="B4" s="281" t="s">
        <v>352</v>
      </c>
      <c r="C4" s="282" t="s">
        <v>353</v>
      </c>
      <c r="D4" s="281" t="s">
        <v>354</v>
      </c>
      <c r="E4" s="282"/>
    </row>
    <row r="5" spans="1:7" ht="29" x14ac:dyDescent="0.35">
      <c r="A5" s="281" t="s">
        <v>0</v>
      </c>
      <c r="B5" s="281" t="s">
        <v>355</v>
      </c>
      <c r="C5" s="282" t="s">
        <v>356</v>
      </c>
      <c r="D5" s="281" t="s">
        <v>354</v>
      </c>
      <c r="E5" s="282"/>
    </row>
    <row r="6" spans="1:7" x14ac:dyDescent="0.35">
      <c r="A6" s="283"/>
      <c r="B6" s="283"/>
      <c r="C6" s="284" t="s">
        <v>357</v>
      </c>
      <c r="D6" s="283"/>
      <c r="E6" s="285">
        <v>3289</v>
      </c>
    </row>
    <row r="7" spans="1:7" x14ac:dyDescent="0.35">
      <c r="A7" s="299" t="s">
        <v>358</v>
      </c>
      <c r="B7" s="300"/>
      <c r="C7" s="300"/>
      <c r="D7" s="300"/>
      <c r="E7" s="300"/>
    </row>
    <row r="8" spans="1:7" ht="29" x14ac:dyDescent="0.35">
      <c r="A8" s="281" t="s">
        <v>21</v>
      </c>
      <c r="B8" s="281" t="s">
        <v>352</v>
      </c>
      <c r="C8" s="282" t="s">
        <v>359</v>
      </c>
      <c r="D8" s="281" t="s">
        <v>360</v>
      </c>
      <c r="E8" s="306">
        <v>11200</v>
      </c>
    </row>
    <row r="9" spans="1:7" ht="29" x14ac:dyDescent="0.35">
      <c r="A9" s="281" t="s">
        <v>21</v>
      </c>
      <c r="B9" s="281" t="s">
        <v>355</v>
      </c>
      <c r="C9" s="282" t="s">
        <v>361</v>
      </c>
      <c r="D9" s="281" t="s">
        <v>360</v>
      </c>
      <c r="E9" s="307"/>
    </row>
    <row r="10" spans="1:7" ht="29" x14ac:dyDescent="0.35">
      <c r="A10" s="281" t="s">
        <v>21</v>
      </c>
      <c r="B10" s="281" t="s">
        <v>362</v>
      </c>
      <c r="C10" s="282" t="s">
        <v>363</v>
      </c>
      <c r="D10" s="281" t="s">
        <v>360</v>
      </c>
      <c r="E10" s="286">
        <v>2400</v>
      </c>
    </row>
    <row r="11" spans="1:7" x14ac:dyDescent="0.35">
      <c r="A11" s="281" t="s">
        <v>21</v>
      </c>
      <c r="B11" s="281" t="s">
        <v>364</v>
      </c>
      <c r="C11" s="282" t="s">
        <v>365</v>
      </c>
      <c r="D11" s="281" t="s">
        <v>360</v>
      </c>
      <c r="E11" s="286">
        <v>200</v>
      </c>
    </row>
    <row r="12" spans="1:7" ht="46.5" customHeight="1" x14ac:dyDescent="0.35">
      <c r="A12" s="281" t="s">
        <v>21</v>
      </c>
      <c r="B12" s="281" t="s">
        <v>366</v>
      </c>
      <c r="C12" s="282" t="s">
        <v>367</v>
      </c>
      <c r="D12" s="281" t="s">
        <v>368</v>
      </c>
      <c r="E12" s="286">
        <v>16800</v>
      </c>
      <c r="F12" s="24"/>
      <c r="G12" s="24"/>
    </row>
    <row r="13" spans="1:7" x14ac:dyDescent="0.35">
      <c r="A13" s="308" t="s">
        <v>369</v>
      </c>
      <c r="B13" s="300"/>
      <c r="C13" s="300"/>
      <c r="D13" s="300"/>
      <c r="E13" s="300"/>
    </row>
    <row r="14" spans="1:7" x14ac:dyDescent="0.35">
      <c r="A14" s="283"/>
      <c r="B14" s="283"/>
      <c r="C14" s="284" t="s">
        <v>370</v>
      </c>
      <c r="D14" s="283"/>
      <c r="E14" s="285">
        <f>SUM(E8:E12)</f>
        <v>30600</v>
      </c>
    </row>
    <row r="15" spans="1:7" x14ac:dyDescent="0.35">
      <c r="A15" s="299" t="s">
        <v>371</v>
      </c>
      <c r="B15" s="300"/>
      <c r="C15" s="300"/>
      <c r="D15" s="300"/>
      <c r="E15" s="300"/>
    </row>
    <row r="16" spans="1:7" x14ac:dyDescent="0.35">
      <c r="A16" s="281" t="s">
        <v>24</v>
      </c>
      <c r="B16" s="281" t="s">
        <v>352</v>
      </c>
      <c r="C16" s="282" t="s">
        <v>372</v>
      </c>
      <c r="D16" s="287" t="s">
        <v>434</v>
      </c>
      <c r="E16" s="289">
        <f>1050 * 2</f>
        <v>2100</v>
      </c>
    </row>
    <row r="17" spans="1:6" x14ac:dyDescent="0.35">
      <c r="A17" s="281" t="s">
        <v>24</v>
      </c>
      <c r="B17" s="281" t="s">
        <v>362</v>
      </c>
      <c r="C17" s="282" t="s">
        <v>373</v>
      </c>
      <c r="D17" s="281" t="s">
        <v>374</v>
      </c>
      <c r="E17" s="286">
        <v>840</v>
      </c>
    </row>
    <row r="18" spans="1:6" x14ac:dyDescent="0.35">
      <c r="A18" s="281" t="s">
        <v>24</v>
      </c>
      <c r="B18" s="281" t="s">
        <v>364</v>
      </c>
      <c r="C18" s="282" t="s">
        <v>433</v>
      </c>
      <c r="D18" s="281" t="s">
        <v>375</v>
      </c>
      <c r="E18" s="286">
        <v>1000</v>
      </c>
    </row>
    <row r="19" spans="1:6" x14ac:dyDescent="0.35">
      <c r="A19" s="287" t="s">
        <v>24</v>
      </c>
      <c r="B19" s="287" t="s">
        <v>366</v>
      </c>
      <c r="C19" s="288" t="s">
        <v>435</v>
      </c>
      <c r="D19" s="287" t="s">
        <v>378</v>
      </c>
      <c r="E19" s="289">
        <v>4000</v>
      </c>
      <c r="F19" s="292"/>
    </row>
    <row r="20" spans="1:6" x14ac:dyDescent="0.35">
      <c r="A20" s="281" t="s">
        <v>24</v>
      </c>
      <c r="B20" s="281" t="s">
        <v>376</v>
      </c>
      <c r="C20" s="282" t="s">
        <v>377</v>
      </c>
      <c r="D20" s="281" t="s">
        <v>378</v>
      </c>
      <c r="E20" s="290" t="s">
        <v>379</v>
      </c>
    </row>
    <row r="21" spans="1:6" x14ac:dyDescent="0.35">
      <c r="A21" s="283"/>
      <c r="B21" s="283"/>
      <c r="C21" s="284" t="s">
        <v>380</v>
      </c>
      <c r="D21" s="283"/>
      <c r="E21" s="291">
        <f>SUM(E16:E19)</f>
        <v>7940</v>
      </c>
    </row>
    <row r="22" spans="1:6" x14ac:dyDescent="0.35">
      <c r="A22" s="299" t="s">
        <v>381</v>
      </c>
      <c r="B22" s="300"/>
      <c r="C22" s="300"/>
      <c r="D22" s="300"/>
      <c r="E22" s="300"/>
    </row>
    <row r="23" spans="1:6" x14ac:dyDescent="0.35">
      <c r="A23" s="281" t="s">
        <v>382</v>
      </c>
      <c r="B23" s="281" t="s">
        <v>352</v>
      </c>
      <c r="C23" s="282" t="s">
        <v>383</v>
      </c>
      <c r="D23" s="281" t="s">
        <v>374</v>
      </c>
      <c r="E23" s="282"/>
    </row>
    <row r="24" spans="1:6" x14ac:dyDescent="0.35">
      <c r="A24" s="281" t="s">
        <v>382</v>
      </c>
      <c r="B24" s="281" t="s">
        <v>355</v>
      </c>
      <c r="C24" s="282" t="s">
        <v>384</v>
      </c>
      <c r="D24" s="281" t="s">
        <v>385</v>
      </c>
      <c r="E24" s="282"/>
    </row>
    <row r="25" spans="1:6" x14ac:dyDescent="0.35">
      <c r="A25" s="281" t="s">
        <v>382</v>
      </c>
      <c r="B25" s="281" t="s">
        <v>362</v>
      </c>
      <c r="C25" s="282" t="s">
        <v>386</v>
      </c>
      <c r="D25" s="281" t="s">
        <v>387</v>
      </c>
      <c r="E25" s="282"/>
    </row>
    <row r="26" spans="1:6" x14ac:dyDescent="0.35">
      <c r="A26" s="281" t="s">
        <v>382</v>
      </c>
      <c r="B26" s="281" t="s">
        <v>364</v>
      </c>
      <c r="C26" s="282" t="s">
        <v>388</v>
      </c>
      <c r="D26" s="281" t="s">
        <v>375</v>
      </c>
      <c r="E26" s="282"/>
    </row>
    <row r="27" spans="1:6" x14ac:dyDescent="0.35">
      <c r="A27" s="283"/>
      <c r="B27" s="283"/>
      <c r="C27" s="284" t="s">
        <v>389</v>
      </c>
      <c r="D27" s="283"/>
      <c r="E27" s="291">
        <v>3750</v>
      </c>
    </row>
    <row r="28" spans="1:6" x14ac:dyDescent="0.35">
      <c r="A28" s="299" t="s">
        <v>390</v>
      </c>
      <c r="B28" s="300"/>
      <c r="C28" s="300"/>
      <c r="D28" s="300"/>
      <c r="E28" s="300"/>
    </row>
    <row r="29" spans="1:6" ht="29" x14ac:dyDescent="0.35">
      <c r="A29" s="281" t="s">
        <v>391</v>
      </c>
      <c r="B29" s="281" t="s">
        <v>352</v>
      </c>
      <c r="C29" s="282" t="s">
        <v>392</v>
      </c>
      <c r="D29" s="281" t="s">
        <v>393</v>
      </c>
      <c r="E29" s="282"/>
    </row>
    <row r="30" spans="1:6" ht="29" x14ac:dyDescent="0.35">
      <c r="A30" s="281" t="s">
        <v>391</v>
      </c>
      <c r="B30" s="281" t="s">
        <v>355</v>
      </c>
      <c r="C30" s="282" t="s">
        <v>394</v>
      </c>
      <c r="D30" s="281" t="s">
        <v>393</v>
      </c>
      <c r="E30" s="282"/>
    </row>
    <row r="31" spans="1:6" x14ac:dyDescent="0.35">
      <c r="A31" s="281" t="s">
        <v>391</v>
      </c>
      <c r="B31" s="281" t="s">
        <v>362</v>
      </c>
      <c r="C31" s="282" t="s">
        <v>395</v>
      </c>
      <c r="D31" s="281" t="s">
        <v>396</v>
      </c>
      <c r="E31" s="282"/>
    </row>
    <row r="32" spans="1:6" x14ac:dyDescent="0.35">
      <c r="A32" s="281" t="s">
        <v>391</v>
      </c>
      <c r="B32" s="281" t="s">
        <v>364</v>
      </c>
      <c r="C32" s="282" t="s">
        <v>397</v>
      </c>
      <c r="D32" s="281" t="s">
        <v>398</v>
      </c>
      <c r="E32" s="282"/>
    </row>
    <row r="33" spans="1:7" ht="29" x14ac:dyDescent="0.35">
      <c r="A33" s="281" t="s">
        <v>391</v>
      </c>
      <c r="B33" s="281" t="s">
        <v>366</v>
      </c>
      <c r="C33" s="282" t="s">
        <v>399</v>
      </c>
      <c r="D33" s="281" t="s">
        <v>398</v>
      </c>
      <c r="E33" s="282"/>
    </row>
    <row r="34" spans="1:7" ht="29" x14ac:dyDescent="0.35">
      <c r="A34" s="281" t="s">
        <v>391</v>
      </c>
      <c r="B34" s="281" t="s">
        <v>376</v>
      </c>
      <c r="C34" s="282" t="s">
        <v>400</v>
      </c>
      <c r="D34" s="281" t="s">
        <v>396</v>
      </c>
      <c r="E34" s="282"/>
    </row>
    <row r="35" spans="1:7" x14ac:dyDescent="0.35">
      <c r="A35" s="283"/>
      <c r="B35" s="283"/>
      <c r="C35" s="284" t="s">
        <v>401</v>
      </c>
      <c r="D35" s="283"/>
      <c r="E35" s="285">
        <v>9330</v>
      </c>
    </row>
    <row r="37" spans="1:7" x14ac:dyDescent="0.35">
      <c r="A37" s="301" t="s">
        <v>402</v>
      </c>
      <c r="B37" s="296"/>
      <c r="C37" s="296"/>
      <c r="D37" s="296"/>
      <c r="E37" s="263">
        <f>E35+E27+E21+E14+E6</f>
        <v>54909</v>
      </c>
      <c r="F37" s="264"/>
    </row>
    <row r="38" spans="1:7" x14ac:dyDescent="0.35">
      <c r="A38" s="302" t="s">
        <v>403</v>
      </c>
      <c r="B38" s="296"/>
      <c r="C38" s="296"/>
      <c r="D38" s="296"/>
      <c r="E38" s="265">
        <v>-3838</v>
      </c>
      <c r="G38" s="266" t="s">
        <v>5</v>
      </c>
    </row>
    <row r="39" spans="1:7" x14ac:dyDescent="0.35">
      <c r="A39" s="303" t="s">
        <v>404</v>
      </c>
      <c r="B39" s="296"/>
      <c r="C39" s="296"/>
      <c r="D39" s="296"/>
      <c r="E39" s="267">
        <f>E37+E38</f>
        <v>51071</v>
      </c>
      <c r="G39" s="268">
        <f>E39*7.5</f>
        <v>383032.5</v>
      </c>
    </row>
    <row r="41" spans="1:7" x14ac:dyDescent="0.35">
      <c r="A41" s="304" t="s">
        <v>405</v>
      </c>
      <c r="B41" s="296"/>
      <c r="C41" s="296"/>
      <c r="D41" s="296"/>
      <c r="E41" s="296"/>
    </row>
    <row r="43" spans="1:7" ht="16.5" x14ac:dyDescent="0.35">
      <c r="A43" s="295" t="s">
        <v>431</v>
      </c>
      <c r="B43" s="296"/>
      <c r="C43" s="296"/>
      <c r="D43" s="296"/>
      <c r="E43" s="296"/>
    </row>
    <row r="44" spans="1:7" x14ac:dyDescent="0.35">
      <c r="A44" s="269" t="s">
        <v>346</v>
      </c>
      <c r="B44" s="269" t="s">
        <v>347</v>
      </c>
      <c r="C44" s="269" t="s">
        <v>348</v>
      </c>
      <c r="D44" s="269" t="s">
        <v>349</v>
      </c>
      <c r="E44" s="269" t="s">
        <v>350</v>
      </c>
    </row>
    <row r="45" spans="1:7" x14ac:dyDescent="0.35">
      <c r="A45" s="297" t="s">
        <v>406</v>
      </c>
      <c r="B45" s="296"/>
      <c r="C45" s="296"/>
      <c r="D45" s="296"/>
      <c r="E45" s="296"/>
    </row>
    <row r="46" spans="1:7" x14ac:dyDescent="0.35">
      <c r="A46" s="270" t="s">
        <v>407</v>
      </c>
      <c r="B46" s="270" t="s">
        <v>352</v>
      </c>
      <c r="C46" s="271" t="s">
        <v>408</v>
      </c>
      <c r="D46" s="270" t="s">
        <v>409</v>
      </c>
      <c r="E46" s="272">
        <v>8000</v>
      </c>
    </row>
    <row r="47" spans="1:7" ht="23" x14ac:dyDescent="0.35">
      <c r="A47" s="270" t="s">
        <v>407</v>
      </c>
      <c r="B47" s="270" t="s">
        <v>355</v>
      </c>
      <c r="C47" s="273" t="s">
        <v>410</v>
      </c>
      <c r="D47" s="274" t="s">
        <v>411</v>
      </c>
      <c r="E47" s="275">
        <v>23600</v>
      </c>
    </row>
    <row r="48" spans="1:7" s="112" customFormat="1" ht="23" x14ac:dyDescent="0.35">
      <c r="A48" s="274" t="s">
        <v>407</v>
      </c>
      <c r="B48" s="274" t="s">
        <v>362</v>
      </c>
      <c r="C48" s="273" t="s">
        <v>412</v>
      </c>
      <c r="D48" s="274" t="s">
        <v>375</v>
      </c>
      <c r="E48" s="275">
        <v>8000</v>
      </c>
    </row>
    <row r="49" spans="1:7" x14ac:dyDescent="0.35">
      <c r="A49" s="297" t="s">
        <v>413</v>
      </c>
      <c r="B49" s="296"/>
      <c r="C49" s="296"/>
      <c r="D49" s="296"/>
      <c r="E49" s="296"/>
    </row>
    <row r="50" spans="1:7" ht="23" x14ac:dyDescent="0.35">
      <c r="A50" s="270" t="s">
        <v>407</v>
      </c>
      <c r="B50" s="270" t="s">
        <v>364</v>
      </c>
      <c r="C50" s="271" t="s">
        <v>414</v>
      </c>
      <c r="D50" s="270" t="s">
        <v>396</v>
      </c>
      <c r="E50" s="272">
        <v>8000</v>
      </c>
    </row>
    <row r="51" spans="1:7" ht="23" x14ac:dyDescent="0.35">
      <c r="A51" s="270" t="s">
        <v>407</v>
      </c>
      <c r="B51" s="270" t="s">
        <v>366</v>
      </c>
      <c r="C51" s="271" t="s">
        <v>415</v>
      </c>
      <c r="D51" s="270" t="s">
        <v>360</v>
      </c>
      <c r="E51" s="272">
        <v>7500</v>
      </c>
    </row>
    <row r="52" spans="1:7" x14ac:dyDescent="0.35">
      <c r="A52" s="270" t="s">
        <v>407</v>
      </c>
      <c r="B52" s="270" t="s">
        <v>376</v>
      </c>
      <c r="C52" s="271" t="s">
        <v>416</v>
      </c>
      <c r="D52" s="270" t="s">
        <v>417</v>
      </c>
      <c r="E52" s="272">
        <v>1600</v>
      </c>
    </row>
    <row r="53" spans="1:7" ht="17.5" customHeight="1" x14ac:dyDescent="0.35">
      <c r="A53" s="270"/>
      <c r="B53" s="276"/>
      <c r="C53" s="277"/>
      <c r="D53" s="276"/>
      <c r="E53" s="272">
        <f>SUM(E50:E52)</f>
        <v>17100</v>
      </c>
    </row>
    <row r="54" spans="1:7" x14ac:dyDescent="0.35">
      <c r="A54" s="297" t="s">
        <v>418</v>
      </c>
      <c r="B54" s="296"/>
      <c r="C54" s="296"/>
      <c r="D54" s="296"/>
      <c r="E54" s="296"/>
    </row>
    <row r="55" spans="1:7" ht="23" x14ac:dyDescent="0.35">
      <c r="A55" s="270" t="s">
        <v>407</v>
      </c>
      <c r="B55" s="270" t="s">
        <v>419</v>
      </c>
      <c r="C55" s="294" t="s">
        <v>436</v>
      </c>
      <c r="D55" s="270" t="s">
        <v>375</v>
      </c>
      <c r="E55" s="272">
        <v>5500</v>
      </c>
    </row>
    <row r="56" spans="1:7" x14ac:dyDescent="0.35">
      <c r="A56" s="270" t="s">
        <v>407</v>
      </c>
      <c r="B56" s="270" t="s">
        <v>420</v>
      </c>
      <c r="C56" s="271" t="s">
        <v>421</v>
      </c>
      <c r="D56" s="270" t="s">
        <v>375</v>
      </c>
      <c r="E56" s="272">
        <v>800</v>
      </c>
    </row>
    <row r="57" spans="1:7" x14ac:dyDescent="0.35">
      <c r="A57" s="270" t="s">
        <v>407</v>
      </c>
      <c r="B57" s="270" t="s">
        <v>422</v>
      </c>
      <c r="C57" s="271" t="s">
        <v>423</v>
      </c>
      <c r="D57" s="270" t="s">
        <v>360</v>
      </c>
      <c r="E57" s="272">
        <v>650</v>
      </c>
    </row>
    <row r="58" spans="1:7" x14ac:dyDescent="0.35">
      <c r="A58" s="270" t="s">
        <v>407</v>
      </c>
      <c r="B58" s="270" t="s">
        <v>424</v>
      </c>
      <c r="C58" s="271" t="s">
        <v>425</v>
      </c>
      <c r="D58" s="270" t="s">
        <v>411</v>
      </c>
      <c r="E58" s="272">
        <v>400</v>
      </c>
    </row>
    <row r="59" spans="1:7" x14ac:dyDescent="0.35">
      <c r="A59" s="270" t="s">
        <v>407</v>
      </c>
      <c r="B59" s="270" t="s">
        <v>426</v>
      </c>
      <c r="C59" s="271" t="s">
        <v>427</v>
      </c>
      <c r="D59" s="270" t="s">
        <v>375</v>
      </c>
      <c r="E59" s="272">
        <v>400</v>
      </c>
    </row>
    <row r="60" spans="1:7" x14ac:dyDescent="0.35">
      <c r="A60" s="270" t="s">
        <v>407</v>
      </c>
      <c r="B60" s="270" t="s">
        <v>428</v>
      </c>
      <c r="C60" s="271" t="s">
        <v>429</v>
      </c>
      <c r="D60" s="270" t="s">
        <v>411</v>
      </c>
      <c r="E60" s="272">
        <v>800</v>
      </c>
    </row>
    <row r="61" spans="1:7" x14ac:dyDescent="0.35">
      <c r="E61" s="293">
        <f>SUM(E55:E60)</f>
        <v>8550</v>
      </c>
      <c r="F61">
        <f>E61*2</f>
        <v>17100</v>
      </c>
      <c r="G61" s="264">
        <f>E39+F61</f>
        <v>68171</v>
      </c>
    </row>
    <row r="62" spans="1:7" x14ac:dyDescent="0.35">
      <c r="A62" s="298" t="s">
        <v>430</v>
      </c>
      <c r="B62" s="296"/>
      <c r="C62" s="296"/>
      <c r="D62" s="296"/>
      <c r="E62" s="278">
        <v>69050</v>
      </c>
    </row>
    <row r="64" spans="1:7" x14ac:dyDescent="0.35">
      <c r="E64" s="264">
        <f>E62+E61+E53</f>
        <v>94700</v>
      </c>
      <c r="F64" s="279">
        <f>E64*7.5</f>
        <v>710250</v>
      </c>
    </row>
  </sheetData>
  <mergeCells count="17">
    <mergeCell ref="A41:E41"/>
    <mergeCell ref="A1:E1"/>
    <mergeCell ref="A3:E3"/>
    <mergeCell ref="A7:E7"/>
    <mergeCell ref="E8:E9"/>
    <mergeCell ref="A13:E13"/>
    <mergeCell ref="A15:E15"/>
    <mergeCell ref="A22:E22"/>
    <mergeCell ref="A28:E28"/>
    <mergeCell ref="A37:D37"/>
    <mergeCell ref="A38:D38"/>
    <mergeCell ref="A39:D39"/>
    <mergeCell ref="A43:E43"/>
    <mergeCell ref="A45:E45"/>
    <mergeCell ref="A49:E49"/>
    <mergeCell ref="A54:E54"/>
    <mergeCell ref="A62:D62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A869-7B8B-4638-B1C3-29C366E7C1A7}">
  <dimension ref="A1:K28"/>
  <sheetViews>
    <sheetView tabSelected="1" zoomScale="110" zoomScaleNormal="110" workbookViewId="0">
      <selection activeCell="F6" sqref="F6:K9"/>
    </sheetView>
  </sheetViews>
  <sheetFormatPr defaultColWidth="8.90625" defaultRowHeight="14.5" x14ac:dyDescent="0.35"/>
  <cols>
    <col min="1" max="1" width="26.54296875" customWidth="1"/>
    <col min="3" max="3" width="13" bestFit="1" customWidth="1"/>
    <col min="4" max="4" width="14.453125" bestFit="1" customWidth="1"/>
    <col min="5" max="5" width="13.54296875" customWidth="1"/>
    <col min="6" max="6" width="11.54296875" customWidth="1"/>
    <col min="7" max="7" width="12.6328125" customWidth="1"/>
    <col min="9" max="9" width="12" customWidth="1"/>
    <col min="10" max="10" width="11.6328125" customWidth="1"/>
    <col min="11" max="11" width="12.36328125" customWidth="1"/>
  </cols>
  <sheetData>
    <row r="1" spans="1:11" x14ac:dyDescent="0.35">
      <c r="A1" s="3" t="s">
        <v>176</v>
      </c>
    </row>
    <row r="4" spans="1:11" x14ac:dyDescent="0.35">
      <c r="A4" t="s">
        <v>177</v>
      </c>
      <c r="B4" t="s">
        <v>178</v>
      </c>
      <c r="C4" t="s">
        <v>179</v>
      </c>
      <c r="D4" t="s">
        <v>180</v>
      </c>
    </row>
    <row r="5" spans="1:11" s="3" customFormat="1" x14ac:dyDescent="0.35">
      <c r="C5" s="116"/>
      <c r="D5" s="23"/>
    </row>
    <row r="6" spans="1:11" s="3" customFormat="1" x14ac:dyDescent="0.35">
      <c r="A6" s="3" t="s">
        <v>294</v>
      </c>
      <c r="B6" s="3">
        <v>2</v>
      </c>
      <c r="C6" s="116">
        <v>18000</v>
      </c>
      <c r="D6" s="23">
        <f>B6*C6</f>
        <v>36000</v>
      </c>
      <c r="F6" s="3" t="s">
        <v>244</v>
      </c>
      <c r="G6" s="3" t="s">
        <v>320</v>
      </c>
      <c r="K6" s="117"/>
    </row>
    <row r="7" spans="1:11" s="3" customFormat="1" x14ac:dyDescent="0.35">
      <c r="A7" s="3" t="s">
        <v>437</v>
      </c>
      <c r="B7" s="3">
        <v>6</v>
      </c>
      <c r="C7" s="116">
        <v>16000</v>
      </c>
      <c r="D7" s="23">
        <f>B7*C7</f>
        <v>96000</v>
      </c>
      <c r="E7" s="3" t="s">
        <v>244</v>
      </c>
      <c r="F7" s="3" t="s">
        <v>339</v>
      </c>
      <c r="G7" s="3" t="s">
        <v>208</v>
      </c>
      <c r="H7" s="3" t="s">
        <v>247</v>
      </c>
      <c r="I7" s="3" t="s">
        <v>340</v>
      </c>
      <c r="J7" s="3" t="s">
        <v>248</v>
      </c>
    </row>
    <row r="8" spans="1:11" x14ac:dyDescent="0.35">
      <c r="A8" t="s">
        <v>299</v>
      </c>
      <c r="B8">
        <v>5</v>
      </c>
      <c r="C8" s="95">
        <v>3000</v>
      </c>
      <c r="D8" s="24">
        <f>C8*B8</f>
        <v>15000</v>
      </c>
      <c r="E8" t="s">
        <v>250</v>
      </c>
      <c r="F8" s="3" t="s">
        <v>322</v>
      </c>
      <c r="G8" s="3" t="s">
        <v>321</v>
      </c>
      <c r="H8" s="3" t="s">
        <v>334</v>
      </c>
      <c r="I8" s="3" t="s">
        <v>328</v>
      </c>
      <c r="K8" s="3" t="s">
        <v>249</v>
      </c>
    </row>
    <row r="9" spans="1:11" x14ac:dyDescent="0.35">
      <c r="A9" s="3" t="s">
        <v>342</v>
      </c>
      <c r="B9" s="3">
        <v>0</v>
      </c>
      <c r="C9" s="95">
        <v>6000</v>
      </c>
      <c r="D9" s="24">
        <f>C9*B9</f>
        <v>0</v>
      </c>
      <c r="F9" s="3" t="s">
        <v>343</v>
      </c>
    </row>
    <row r="10" spans="1:11" x14ac:dyDescent="0.35">
      <c r="A10" s="3" t="s">
        <v>344</v>
      </c>
      <c r="B10" s="3">
        <v>7</v>
      </c>
      <c r="C10" s="97">
        <v>1110</v>
      </c>
      <c r="D10" s="120">
        <f>B10*C10</f>
        <v>7770</v>
      </c>
    </row>
    <row r="11" spans="1:11" x14ac:dyDescent="0.35">
      <c r="A11" s="3" t="s">
        <v>181</v>
      </c>
      <c r="C11" s="97"/>
      <c r="D11" s="119"/>
    </row>
    <row r="12" spans="1:11" x14ac:dyDescent="0.35">
      <c r="D12" s="119"/>
    </row>
    <row r="14" spans="1:11" x14ac:dyDescent="0.35">
      <c r="A14" s="3" t="s">
        <v>245</v>
      </c>
      <c r="B14" s="3"/>
      <c r="C14" s="3"/>
      <c r="D14" s="23">
        <f>SUM(D5:D13)</f>
        <v>154770</v>
      </c>
    </row>
    <row r="15" spans="1:11" s="112" customFormat="1" x14ac:dyDescent="0.35">
      <c r="A15" s="112" t="s">
        <v>246</v>
      </c>
      <c r="D15" s="124">
        <f>D14*E18</f>
        <v>2012010</v>
      </c>
    </row>
    <row r="17" spans="1:5" x14ac:dyDescent="0.35">
      <c r="A17" t="s">
        <v>182</v>
      </c>
      <c r="B17" t="s">
        <v>178</v>
      </c>
      <c r="C17" t="s">
        <v>183</v>
      </c>
      <c r="E17" t="s">
        <v>184</v>
      </c>
    </row>
    <row r="18" spans="1:5" x14ac:dyDescent="0.35">
      <c r="A18" t="s">
        <v>243</v>
      </c>
      <c r="C18">
        <v>82.91</v>
      </c>
      <c r="D18" s="96">
        <v>1077830</v>
      </c>
      <c r="E18" s="97">
        <v>13</v>
      </c>
    </row>
    <row r="19" spans="1:5" x14ac:dyDescent="0.35">
      <c r="A19" t="s">
        <v>185</v>
      </c>
      <c r="D19" s="97">
        <v>560000</v>
      </c>
    </row>
    <row r="20" spans="1:5" x14ac:dyDescent="0.35">
      <c r="A20" t="s">
        <v>438</v>
      </c>
      <c r="D20" s="97">
        <v>50000</v>
      </c>
      <c r="E20" t="s">
        <v>186</v>
      </c>
    </row>
    <row r="21" spans="1:5" s="3" customFormat="1" x14ac:dyDescent="0.35">
      <c r="A21" s="3" t="s">
        <v>187</v>
      </c>
      <c r="D21" s="118"/>
    </row>
    <row r="22" spans="1:5" x14ac:dyDescent="0.35">
      <c r="A22" t="s">
        <v>188</v>
      </c>
      <c r="D22" s="97">
        <v>50000</v>
      </c>
    </row>
    <row r="23" spans="1:5" x14ac:dyDescent="0.35">
      <c r="D23" s="97"/>
    </row>
    <row r="25" spans="1:5" s="123" customFormat="1" x14ac:dyDescent="0.35">
      <c r="A25" s="121" t="s">
        <v>189</v>
      </c>
      <c r="B25" s="121"/>
      <c r="C25" s="121"/>
      <c r="D25" s="122">
        <f>SUM(D18:D24)</f>
        <v>1737830</v>
      </c>
    </row>
    <row r="27" spans="1:5" x14ac:dyDescent="0.35">
      <c r="B27">
        <v>0</v>
      </c>
      <c r="D27" s="96"/>
      <c r="E27" s="97"/>
    </row>
    <row r="28" spans="1:5" ht="16" x14ac:dyDescent="0.5">
      <c r="A28" s="3" t="s">
        <v>190</v>
      </c>
      <c r="B28" s="3"/>
      <c r="C28" s="3"/>
      <c r="D28" s="262">
        <f>D15-D25</f>
        <v>274180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B8E5-9170-4DD8-8195-AF61F4BF9C1A}">
  <dimension ref="A1:N86"/>
  <sheetViews>
    <sheetView zoomScale="90" zoomScaleNormal="90" workbookViewId="0">
      <pane ySplit="2" topLeftCell="A3" activePane="bottomLeft" state="frozen"/>
      <selection pane="bottomLeft" activeCell="I8" sqref="I8"/>
    </sheetView>
  </sheetViews>
  <sheetFormatPr defaultColWidth="8.90625" defaultRowHeight="14.5" x14ac:dyDescent="0.35"/>
  <cols>
    <col min="2" max="2" width="11.6328125" customWidth="1"/>
    <col min="3" max="3" width="20" customWidth="1"/>
    <col min="4" max="4" width="27.81640625" customWidth="1"/>
    <col min="5" max="5" width="26.453125" customWidth="1"/>
    <col min="6" max="6" width="19.08984375" customWidth="1"/>
    <col min="7" max="7" width="28.6328125" customWidth="1"/>
    <col min="8" max="8" width="22.6328125" customWidth="1"/>
    <col min="9" max="9" width="71.08984375" customWidth="1"/>
    <col min="10" max="10" width="47" customWidth="1"/>
  </cols>
  <sheetData>
    <row r="1" spans="1:11" s="13" customFormat="1" ht="4.5" customHeight="1" x14ac:dyDescent="0.35"/>
    <row r="2" spans="1:11" s="111" customFormat="1" ht="51.65" customHeight="1" x14ac:dyDescent="0.35">
      <c r="A2" s="186"/>
      <c r="B2" s="187" t="s">
        <v>238</v>
      </c>
      <c r="C2" s="188" t="s">
        <v>323</v>
      </c>
      <c r="D2" s="189" t="s">
        <v>252</v>
      </c>
      <c r="E2" s="190" t="s">
        <v>253</v>
      </c>
      <c r="F2" s="191"/>
      <c r="G2" s="192" t="s">
        <v>29</v>
      </c>
      <c r="H2" s="191"/>
      <c r="I2" s="190" t="s">
        <v>30</v>
      </c>
      <c r="J2" s="148" t="s">
        <v>31</v>
      </c>
    </row>
    <row r="3" spans="1:11" s="249" customFormat="1" x14ac:dyDescent="0.35">
      <c r="A3" s="249">
        <v>1</v>
      </c>
      <c r="C3" s="249" t="s">
        <v>178</v>
      </c>
      <c r="D3" s="250" t="s">
        <v>255</v>
      </c>
      <c r="E3" s="251" t="s">
        <v>254</v>
      </c>
      <c r="F3" s="252" t="s">
        <v>46</v>
      </c>
      <c r="G3" s="250" t="s">
        <v>204</v>
      </c>
      <c r="I3" s="249" t="s">
        <v>298</v>
      </c>
    </row>
    <row r="4" spans="1:11" s="178" customFormat="1" ht="22.25" customHeight="1" x14ac:dyDescent="0.35">
      <c r="A4" s="178">
        <v>2</v>
      </c>
      <c r="C4" s="198" t="s">
        <v>238</v>
      </c>
      <c r="D4" s="199" t="s">
        <v>257</v>
      </c>
      <c r="E4" s="200" t="s">
        <v>256</v>
      </c>
      <c r="F4" s="182" t="s">
        <v>46</v>
      </c>
      <c r="G4" s="201" t="s">
        <v>47</v>
      </c>
      <c r="H4" s="182" t="s">
        <v>258</v>
      </c>
      <c r="I4" s="202" t="s">
        <v>310</v>
      </c>
      <c r="J4" s="182"/>
    </row>
    <row r="5" spans="1:11" s="178" customFormat="1" ht="22.25" customHeight="1" x14ac:dyDescent="0.35">
      <c r="A5" s="178">
        <v>3</v>
      </c>
      <c r="C5" s="198" t="s">
        <v>238</v>
      </c>
      <c r="D5" s="199" t="s">
        <v>48</v>
      </c>
      <c r="E5" s="200" t="s">
        <v>49</v>
      </c>
      <c r="F5" s="182" t="s">
        <v>46</v>
      </c>
      <c r="G5" s="201" t="s">
        <v>50</v>
      </c>
      <c r="H5" s="182" t="s">
        <v>51</v>
      </c>
      <c r="I5" s="202" t="s">
        <v>341</v>
      </c>
      <c r="J5" s="182"/>
    </row>
    <row r="6" spans="1:11" s="178" customFormat="1" ht="27" customHeight="1" x14ac:dyDescent="0.35">
      <c r="A6" s="178">
        <v>4</v>
      </c>
      <c r="C6" s="198" t="s">
        <v>239</v>
      </c>
      <c r="D6" s="199" t="s">
        <v>292</v>
      </c>
      <c r="E6" s="209" t="s">
        <v>291</v>
      </c>
      <c r="F6" s="182" t="s">
        <v>46</v>
      </c>
      <c r="G6" s="201" t="s">
        <v>52</v>
      </c>
      <c r="H6" s="210" t="s">
        <v>293</v>
      </c>
      <c r="I6" s="210" t="s">
        <v>297</v>
      </c>
      <c r="J6" s="211"/>
      <c r="K6" s="211"/>
    </row>
    <row r="7" spans="1:11" s="178" customFormat="1" ht="17" customHeight="1" x14ac:dyDescent="0.4">
      <c r="A7" s="178">
        <v>5</v>
      </c>
      <c r="C7" s="179" t="s">
        <v>178</v>
      </c>
      <c r="D7" s="180" t="s">
        <v>56</v>
      </c>
      <c r="E7" s="181" t="s">
        <v>57</v>
      </c>
      <c r="F7" s="182" t="s">
        <v>46</v>
      </c>
      <c r="G7" s="183" t="s">
        <v>58</v>
      </c>
      <c r="H7" s="184" t="s">
        <v>57</v>
      </c>
      <c r="I7" s="182" t="s">
        <v>296</v>
      </c>
      <c r="J7" s="185"/>
      <c r="K7" s="185"/>
    </row>
    <row r="8" spans="1:11" s="178" customFormat="1" ht="27" customHeight="1" x14ac:dyDescent="0.35">
      <c r="A8" s="178">
        <v>6</v>
      </c>
      <c r="C8" s="198" t="s">
        <v>238</v>
      </c>
      <c r="D8" s="199" t="s">
        <v>59</v>
      </c>
      <c r="E8" s="204" t="s">
        <v>60</v>
      </c>
      <c r="F8" s="182" t="s">
        <v>46</v>
      </c>
      <c r="G8" s="201" t="s">
        <v>61</v>
      </c>
      <c r="H8" s="182" t="s">
        <v>62</v>
      </c>
      <c r="I8" s="182" t="s">
        <v>295</v>
      </c>
      <c r="J8" s="182"/>
    </row>
    <row r="9" spans="1:11" s="178" customFormat="1" ht="27" customHeight="1" x14ac:dyDescent="0.35">
      <c r="A9" s="178">
        <v>7</v>
      </c>
      <c r="C9" s="198" t="s">
        <v>238</v>
      </c>
      <c r="D9" s="199"/>
      <c r="E9" s="253" t="s">
        <v>319</v>
      </c>
      <c r="F9" s="182"/>
      <c r="G9" s="201" t="s">
        <v>320</v>
      </c>
      <c r="H9" s="210"/>
      <c r="I9" s="210" t="s">
        <v>329</v>
      </c>
      <c r="J9" s="211"/>
      <c r="K9" s="211"/>
    </row>
    <row r="11" spans="1:11" s="20" customFormat="1" ht="23" customHeight="1" x14ac:dyDescent="0.35">
      <c r="D11" s="20" t="s">
        <v>283</v>
      </c>
      <c r="E11" s="33" t="s">
        <v>282</v>
      </c>
      <c r="G11" s="138" t="s">
        <v>113</v>
      </c>
      <c r="I11" s="20" t="s">
        <v>288</v>
      </c>
    </row>
    <row r="13" spans="1:11" s="111" customFormat="1" ht="17.399999999999999" customHeight="1" x14ac:dyDescent="0.35">
      <c r="A13" s="186">
        <v>2</v>
      </c>
      <c r="B13" s="186"/>
      <c r="C13" s="194" t="s">
        <v>178</v>
      </c>
      <c r="D13" s="195" t="s">
        <v>36</v>
      </c>
      <c r="E13" s="196" t="s">
        <v>37</v>
      </c>
      <c r="F13" s="193" t="s">
        <v>46</v>
      </c>
      <c r="G13" s="197" t="s">
        <v>38</v>
      </c>
      <c r="H13" s="193" t="s">
        <v>39</v>
      </c>
      <c r="I13" s="193" t="s">
        <v>312</v>
      </c>
      <c r="J13" s="125"/>
    </row>
    <row r="14" spans="1:11" s="112" customFormat="1" ht="23" customHeight="1" x14ac:dyDescent="0.35">
      <c r="E14" s="176"/>
      <c r="G14" s="126" t="s">
        <v>313</v>
      </c>
      <c r="I14" s="112" t="s">
        <v>315</v>
      </c>
    </row>
    <row r="15" spans="1:11" s="152" customFormat="1" ht="31.25" customHeight="1" x14ac:dyDescent="0.35">
      <c r="B15" s="150" t="s">
        <v>267</v>
      </c>
      <c r="D15" s="152" t="s">
        <v>432</v>
      </c>
    </row>
    <row r="16" spans="1:11" s="112" customFormat="1" x14ac:dyDescent="0.35">
      <c r="D16" s="112" t="s">
        <v>324</v>
      </c>
      <c r="G16" s="126" t="s">
        <v>279</v>
      </c>
      <c r="H16" s="112" t="s">
        <v>80</v>
      </c>
      <c r="I16" s="112" t="s">
        <v>325</v>
      </c>
    </row>
    <row r="17" spans="1:14" s="178" customFormat="1" ht="32" customHeight="1" x14ac:dyDescent="0.35">
      <c r="C17" s="198"/>
      <c r="D17" s="207" t="s">
        <v>40</v>
      </c>
      <c r="E17" s="204" t="s">
        <v>41</v>
      </c>
      <c r="F17" s="182" t="s">
        <v>42</v>
      </c>
      <c r="G17" s="201" t="s">
        <v>43</v>
      </c>
      <c r="H17" s="182" t="s">
        <v>44</v>
      </c>
      <c r="I17" s="203" t="s">
        <v>314</v>
      </c>
      <c r="J17" s="208"/>
    </row>
    <row r="18" spans="1:14" s="254" customFormat="1" ht="32" customHeight="1" x14ac:dyDescent="0.35">
      <c r="C18" s="255"/>
      <c r="D18" s="256" t="s">
        <v>333</v>
      </c>
      <c r="E18" s="257" t="s">
        <v>332</v>
      </c>
      <c r="F18" s="252"/>
      <c r="G18" s="258" t="s">
        <v>334</v>
      </c>
      <c r="H18" s="252" t="s">
        <v>44</v>
      </c>
      <c r="I18" s="259" t="s">
        <v>335</v>
      </c>
      <c r="J18" s="260"/>
    </row>
    <row r="19" spans="1:14" s="13" customFormat="1" ht="35" customHeight="1" x14ac:dyDescent="0.35">
      <c r="C19" s="114"/>
      <c r="D19" s="8" t="s">
        <v>67</v>
      </c>
      <c r="E19" s="21" t="s">
        <v>68</v>
      </c>
      <c r="F19" s="10" t="s">
        <v>42</v>
      </c>
      <c r="G19" s="132" t="s">
        <v>69</v>
      </c>
      <c r="H19" s="11" t="s">
        <v>44</v>
      </c>
      <c r="I19" s="11"/>
      <c r="J19" s="11"/>
      <c r="K19" s="12"/>
    </row>
    <row r="20" spans="1:14" s="149" customFormat="1" ht="32" customHeight="1" x14ac:dyDescent="0.35">
      <c r="B20" s="152"/>
      <c r="C20" s="151"/>
      <c r="D20" s="153" t="s">
        <v>71</v>
      </c>
      <c r="E20" s="153"/>
      <c r="F20" s="152"/>
      <c r="G20" s="154" t="s">
        <v>262</v>
      </c>
      <c r="H20" s="152"/>
      <c r="I20" s="152" t="s">
        <v>309</v>
      </c>
      <c r="J20" s="152"/>
      <c r="K20" s="152"/>
      <c r="L20" s="152"/>
      <c r="M20" s="152"/>
      <c r="N20" s="152"/>
    </row>
    <row r="21" spans="1:14" s="20" customFormat="1" ht="16" x14ac:dyDescent="0.35">
      <c r="D21" s="20" t="s">
        <v>327</v>
      </c>
      <c r="E21" s="248"/>
      <c r="G21" s="138" t="s">
        <v>326</v>
      </c>
      <c r="I21" s="20" t="s">
        <v>330</v>
      </c>
    </row>
    <row r="22" spans="1:14" s="149" customFormat="1" ht="33.65" customHeight="1" x14ac:dyDescent="0.35">
      <c r="C22" s="155"/>
      <c r="D22" s="155" t="s">
        <v>94</v>
      </c>
      <c r="E22" s="157" t="s">
        <v>95</v>
      </c>
      <c r="F22" s="171" t="s">
        <v>78</v>
      </c>
      <c r="G22" s="172" t="s">
        <v>96</v>
      </c>
      <c r="H22" s="158" t="s">
        <v>97</v>
      </c>
      <c r="I22" s="155" t="s">
        <v>287</v>
      </c>
      <c r="J22" s="158"/>
    </row>
    <row r="23" spans="1:14" s="178" customFormat="1" ht="29" customHeight="1" x14ac:dyDescent="0.35">
      <c r="C23" s="203"/>
      <c r="D23" s="203" t="s">
        <v>284</v>
      </c>
      <c r="E23" s="204" t="s">
        <v>281</v>
      </c>
      <c r="F23" s="205" t="s">
        <v>46</v>
      </c>
      <c r="G23" s="199" t="s">
        <v>88</v>
      </c>
      <c r="H23" s="182"/>
      <c r="I23" s="182" t="s">
        <v>300</v>
      </c>
      <c r="J23" s="182"/>
    </row>
    <row r="24" spans="1:14" s="13" customFormat="1" ht="27" customHeight="1" x14ac:dyDescent="0.35">
      <c r="C24" s="8"/>
      <c r="D24" s="170" t="s">
        <v>285</v>
      </c>
      <c r="E24" s="9"/>
      <c r="F24" s="10"/>
      <c r="G24" s="132" t="s">
        <v>286</v>
      </c>
      <c r="H24" s="11"/>
      <c r="I24" s="8" t="s">
        <v>289</v>
      </c>
      <c r="J24" s="11"/>
    </row>
    <row r="25" spans="1:14" s="12" customFormat="1" ht="23" customHeight="1" x14ac:dyDescent="0.3">
      <c r="C25" s="173" t="s">
        <v>280</v>
      </c>
      <c r="D25" s="8" t="s">
        <v>275</v>
      </c>
      <c r="E25" s="21" t="s">
        <v>274</v>
      </c>
      <c r="F25" s="10" t="s">
        <v>46</v>
      </c>
      <c r="G25" s="132" t="s">
        <v>86</v>
      </c>
      <c r="H25" s="11" t="s">
        <v>276</v>
      </c>
      <c r="I25" s="11" t="s">
        <v>316</v>
      </c>
    </row>
    <row r="27" spans="1:14" s="149" customFormat="1" ht="22.25" customHeight="1" x14ac:dyDescent="0.35">
      <c r="C27" s="156"/>
      <c r="D27" s="155" t="s">
        <v>76</v>
      </c>
      <c r="E27" s="157" t="s">
        <v>77</v>
      </c>
      <c r="F27" s="171" t="s">
        <v>78</v>
      </c>
      <c r="G27" s="155" t="s">
        <v>79</v>
      </c>
      <c r="H27" s="158" t="s">
        <v>80</v>
      </c>
      <c r="I27" s="155" t="s">
        <v>318</v>
      </c>
      <c r="J27" s="158"/>
    </row>
    <row r="28" spans="1:14" s="149" customFormat="1" ht="22.25" customHeight="1" x14ac:dyDescent="0.35">
      <c r="C28" s="156"/>
      <c r="D28" s="155" t="s">
        <v>336</v>
      </c>
      <c r="E28" s="157"/>
      <c r="F28" s="171"/>
      <c r="G28" s="155" t="s">
        <v>337</v>
      </c>
      <c r="H28" s="158" t="s">
        <v>338</v>
      </c>
      <c r="I28" s="155"/>
      <c r="J28" s="158"/>
    </row>
    <row r="29" spans="1:14" s="142" customFormat="1" x14ac:dyDescent="0.35">
      <c r="B29" s="143" t="s">
        <v>134</v>
      </c>
      <c r="C29" s="143"/>
      <c r="D29" s="144"/>
      <c r="E29" s="145"/>
      <c r="F29" s="146"/>
      <c r="G29" s="147"/>
      <c r="H29" s="146"/>
      <c r="I29" s="146"/>
      <c r="J29" s="146"/>
    </row>
    <row r="30" spans="1:14" s="131" customFormat="1" ht="20.399999999999999" customHeight="1" x14ac:dyDescent="0.35">
      <c r="C30" s="127"/>
      <c r="D30" s="127" t="s">
        <v>135</v>
      </c>
      <c r="E30" s="141" t="s">
        <v>136</v>
      </c>
      <c r="F30" s="127"/>
      <c r="G30" s="137" t="s">
        <v>137</v>
      </c>
      <c r="H30" s="127"/>
      <c r="I30" s="127" t="s">
        <v>138</v>
      </c>
      <c r="J30" s="127"/>
    </row>
    <row r="31" spans="1:14" s="131" customFormat="1" ht="20.399999999999999" customHeight="1" x14ac:dyDescent="0.35">
      <c r="A31" s="261" t="s">
        <v>336</v>
      </c>
      <c r="C31" s="127"/>
      <c r="D31" s="127"/>
      <c r="E31" s="141"/>
      <c r="F31" s="127"/>
      <c r="G31" s="137"/>
      <c r="H31" s="127"/>
      <c r="I31" s="127"/>
      <c r="J31" s="127"/>
    </row>
    <row r="32" spans="1:14" s="212" customFormat="1" ht="23.4" customHeight="1" x14ac:dyDescent="0.35">
      <c r="A32" s="261"/>
      <c r="G32" s="213" t="s">
        <v>139</v>
      </c>
      <c r="I32" s="212" t="s">
        <v>138</v>
      </c>
    </row>
    <row r="33" spans="2:14" s="214" customFormat="1" x14ac:dyDescent="0.35">
      <c r="G33" s="215"/>
      <c r="I33" s="216"/>
    </row>
    <row r="34" spans="2:14" s="212" customFormat="1" x14ac:dyDescent="0.35">
      <c r="B34" s="217"/>
      <c r="E34" s="218" t="s">
        <v>140</v>
      </c>
      <c r="G34" s="213" t="s">
        <v>141</v>
      </c>
      <c r="I34" s="212" t="s">
        <v>142</v>
      </c>
      <c r="N34" s="219"/>
    </row>
    <row r="35" spans="2:14" s="217" customFormat="1" ht="23" customHeight="1" x14ac:dyDescent="0.35">
      <c r="C35" s="220"/>
      <c r="D35" s="221" t="s">
        <v>32</v>
      </c>
      <c r="E35" s="222" t="s">
        <v>33</v>
      </c>
      <c r="F35" s="223" t="s">
        <v>34</v>
      </c>
      <c r="G35" s="224" t="s">
        <v>35</v>
      </c>
      <c r="H35" s="223"/>
      <c r="I35" s="225" t="s">
        <v>290</v>
      </c>
      <c r="J35" s="223"/>
    </row>
    <row r="36" spans="2:14" s="226" customFormat="1" x14ac:dyDescent="0.35">
      <c r="B36" s="226" t="s">
        <v>278</v>
      </c>
    </row>
    <row r="37" spans="2:14" s="214" customFormat="1" x14ac:dyDescent="0.35"/>
    <row r="38" spans="2:14" x14ac:dyDescent="0.35">
      <c r="G38" s="247" t="s">
        <v>331</v>
      </c>
      <c r="I38" t="s">
        <v>178</v>
      </c>
    </row>
    <row r="39" spans="2:14" s="214" customFormat="1" x14ac:dyDescent="0.35">
      <c r="G39" s="215"/>
      <c r="I39" s="216" t="s">
        <v>277</v>
      </c>
    </row>
    <row r="40" spans="2:14" s="214" customFormat="1" x14ac:dyDescent="0.35"/>
    <row r="41" spans="2:14" s="227" customFormat="1" x14ac:dyDescent="0.35">
      <c r="G41" s="228" t="s">
        <v>273</v>
      </c>
    </row>
    <row r="42" spans="2:14" s="214" customFormat="1" x14ac:dyDescent="0.35"/>
    <row r="43" spans="2:14" s="214" customFormat="1" x14ac:dyDescent="0.35"/>
    <row r="44" spans="2:14" s="229" customFormat="1" x14ac:dyDescent="0.35">
      <c r="G44" s="230"/>
    </row>
    <row r="45" spans="2:14" s="235" customFormat="1" ht="24" customHeight="1" x14ac:dyDescent="0.35">
      <c r="C45" s="231"/>
      <c r="D45" s="227" t="s">
        <v>90</v>
      </c>
      <c r="E45" s="232" t="s">
        <v>91</v>
      </c>
      <c r="F45" s="233"/>
      <c r="G45" s="228" t="s">
        <v>92</v>
      </c>
      <c r="H45" s="234"/>
      <c r="I45" s="234" t="s">
        <v>93</v>
      </c>
    </row>
    <row r="46" spans="2:14" s="236" customFormat="1" x14ac:dyDescent="0.35">
      <c r="G46" s="237"/>
    </row>
    <row r="47" spans="2:14" s="229" customFormat="1" x14ac:dyDescent="0.35">
      <c r="G47" s="230"/>
    </row>
    <row r="48" spans="2:14" s="229" customFormat="1" ht="24.65" customHeight="1" x14ac:dyDescent="0.35">
      <c r="C48" s="238"/>
      <c r="D48" s="239" t="s">
        <v>102</v>
      </c>
      <c r="E48" s="239" t="s">
        <v>103</v>
      </c>
      <c r="F48" s="240"/>
      <c r="G48" s="241" t="s">
        <v>104</v>
      </c>
      <c r="H48" s="240"/>
      <c r="I48" s="238" t="s">
        <v>105</v>
      </c>
      <c r="J48" s="240"/>
    </row>
    <row r="49" spans="2:14" s="236" customFormat="1" x14ac:dyDescent="0.35">
      <c r="G49" s="237"/>
    </row>
    <row r="50" spans="2:14" s="229" customFormat="1" ht="17" customHeight="1" x14ac:dyDescent="0.35">
      <c r="C50" s="238"/>
      <c r="D50" s="239" t="s">
        <v>106</v>
      </c>
      <c r="E50" s="239" t="s">
        <v>107</v>
      </c>
      <c r="F50" s="240" t="s">
        <v>108</v>
      </c>
      <c r="G50" s="242" t="s">
        <v>265</v>
      </c>
      <c r="H50" s="240"/>
      <c r="I50" s="238" t="s">
        <v>109</v>
      </c>
      <c r="J50" s="240"/>
    </row>
    <row r="51" spans="2:14" s="229" customFormat="1" ht="21.75" customHeight="1" x14ac:dyDescent="0.35">
      <c r="C51" s="236"/>
      <c r="D51" s="243" t="s">
        <v>111</v>
      </c>
      <c r="E51" s="243"/>
      <c r="F51" s="236"/>
      <c r="G51" s="237" t="s">
        <v>110</v>
      </c>
      <c r="H51" s="236"/>
      <c r="I51" s="236" t="s">
        <v>112</v>
      </c>
      <c r="J51" s="236"/>
      <c r="K51" s="236"/>
      <c r="L51" s="236"/>
      <c r="M51" s="236"/>
      <c r="N51" s="244"/>
    </row>
    <row r="52" spans="2:14" s="229" customFormat="1" ht="28.25" customHeight="1" x14ac:dyDescent="0.35">
      <c r="D52" s="236" t="s">
        <v>114</v>
      </c>
      <c r="G52" s="245" t="s">
        <v>115</v>
      </c>
    </row>
    <row r="53" spans="2:14" s="229" customFormat="1" ht="29" customHeight="1" x14ac:dyDescent="0.35">
      <c r="C53" s="236"/>
      <c r="D53" s="246" t="s">
        <v>117</v>
      </c>
      <c r="E53" s="246"/>
      <c r="F53" s="236"/>
      <c r="G53" s="237" t="s">
        <v>116</v>
      </c>
      <c r="H53" s="236"/>
      <c r="I53" s="236"/>
      <c r="J53" s="236"/>
      <c r="K53" s="236"/>
      <c r="L53" s="236"/>
      <c r="M53" s="236"/>
      <c r="N53" s="236"/>
    </row>
    <row r="54" spans="2:14" s="134" customFormat="1" ht="36" customHeight="1" x14ac:dyDescent="0.35">
      <c r="B54" s="135" t="s">
        <v>264</v>
      </c>
      <c r="G54" s="136"/>
    </row>
    <row r="55" spans="2:14" s="22" customFormat="1" x14ac:dyDescent="0.35">
      <c r="C55" s="112"/>
      <c r="D55" s="113" t="s">
        <v>119</v>
      </c>
      <c r="E55" s="112"/>
      <c r="F55" s="112"/>
      <c r="G55" s="2"/>
      <c r="H55" s="112"/>
      <c r="I55" s="112" t="s">
        <v>251</v>
      </c>
      <c r="J55" s="112"/>
      <c r="K55" s="112"/>
      <c r="L55" s="112"/>
      <c r="M55" s="112"/>
      <c r="N55" s="112"/>
    </row>
    <row r="56" spans="2:14" s="12" customFormat="1" x14ac:dyDescent="0.35">
      <c r="C56" s="20"/>
      <c r="D56" s="20" t="s">
        <v>121</v>
      </c>
      <c r="E56" s="20"/>
      <c r="F56" s="20"/>
      <c r="G56" s="34"/>
      <c r="H56" s="20"/>
      <c r="I56" s="20"/>
      <c r="J56" s="20"/>
      <c r="K56" s="20"/>
      <c r="L56" s="20"/>
      <c r="M56" s="20"/>
      <c r="N56" s="20"/>
    </row>
    <row r="57" spans="2:14" s="12" customFormat="1" ht="23.25" customHeight="1" x14ac:dyDescent="0.35">
      <c r="C57" s="20"/>
      <c r="D57" s="33" t="s">
        <v>123</v>
      </c>
      <c r="E57" s="20"/>
      <c r="F57" s="20"/>
      <c r="G57" s="131"/>
      <c r="H57" s="20"/>
      <c r="I57" s="20"/>
      <c r="J57" s="20"/>
      <c r="K57" s="20"/>
      <c r="L57" s="20"/>
      <c r="M57" s="20"/>
      <c r="N57" s="20"/>
    </row>
    <row r="58" spans="2:14" s="13" customFormat="1" x14ac:dyDescent="0.35">
      <c r="G58" s="139"/>
    </row>
    <row r="59" spans="2:14" s="12" customFormat="1" ht="18.649999999999999" customHeight="1" x14ac:dyDescent="0.35">
      <c r="C59" s="8"/>
      <c r="D59" s="8" t="s">
        <v>124</v>
      </c>
      <c r="E59" s="9" t="s">
        <v>125</v>
      </c>
      <c r="F59" s="10" t="s">
        <v>46</v>
      </c>
      <c r="G59" s="133" t="s">
        <v>126</v>
      </c>
      <c r="H59" s="11" t="s">
        <v>80</v>
      </c>
      <c r="I59" s="11" t="s">
        <v>127</v>
      </c>
      <c r="J59" s="11"/>
    </row>
    <row r="60" spans="2:14" s="13" customFormat="1" x14ac:dyDescent="0.35">
      <c r="G60" s="139"/>
    </row>
    <row r="61" spans="2:14" s="20" customFormat="1" ht="15.75" customHeight="1" x14ac:dyDescent="0.35">
      <c r="C61" s="8"/>
      <c r="D61" s="8" t="s">
        <v>128</v>
      </c>
      <c r="E61" s="9" t="s">
        <v>129</v>
      </c>
      <c r="F61" s="10" t="s">
        <v>46</v>
      </c>
      <c r="G61" s="133" t="s">
        <v>130</v>
      </c>
      <c r="H61" s="11"/>
      <c r="I61" s="11" t="s">
        <v>131</v>
      </c>
      <c r="J61" s="11"/>
    </row>
    <row r="62" spans="2:14" s="13" customFormat="1" ht="21" customHeight="1" x14ac:dyDescent="0.3">
      <c r="C62" s="15"/>
      <c r="D62" s="15"/>
      <c r="E62" s="115" t="s">
        <v>242</v>
      </c>
      <c r="F62" s="16"/>
      <c r="G62" s="140" t="s">
        <v>241</v>
      </c>
      <c r="H62" s="16"/>
      <c r="I62" s="15" t="s">
        <v>266</v>
      </c>
      <c r="J62" s="16"/>
    </row>
    <row r="63" spans="2:14" x14ac:dyDescent="0.35">
      <c r="C63" s="15"/>
      <c r="D63" s="25" t="s">
        <v>132</v>
      </c>
      <c r="F63" s="16" t="s">
        <v>108</v>
      </c>
      <c r="G63" s="133" t="s">
        <v>133</v>
      </c>
      <c r="H63" s="16"/>
      <c r="I63" s="16" t="s">
        <v>108</v>
      </c>
      <c r="J63" s="16"/>
    </row>
    <row r="64" spans="2:14" s="12" customFormat="1" ht="20" customHeight="1" x14ac:dyDescent="0.35">
      <c r="C64" s="8"/>
      <c r="D64" s="8" t="s">
        <v>81</v>
      </c>
      <c r="E64" s="9" t="s">
        <v>82</v>
      </c>
      <c r="F64" s="10" t="s">
        <v>83</v>
      </c>
      <c r="G64" s="132" t="s">
        <v>84</v>
      </c>
      <c r="H64" s="11" t="s">
        <v>44</v>
      </c>
      <c r="I64" s="11" t="s">
        <v>261</v>
      </c>
      <c r="J64" s="11" t="s">
        <v>85</v>
      </c>
    </row>
    <row r="65" spans="1:11" s="20" customFormat="1" ht="23" customHeight="1" x14ac:dyDescent="0.35">
      <c r="E65" s="33" t="s">
        <v>311</v>
      </c>
      <c r="G65" s="138"/>
      <c r="I65" s="20" t="s">
        <v>317</v>
      </c>
    </row>
    <row r="66" spans="1:11" s="13" customFormat="1" ht="15.75" customHeight="1" x14ac:dyDescent="0.35">
      <c r="C66" s="8"/>
      <c r="D66" s="8" t="s">
        <v>98</v>
      </c>
      <c r="E66" s="9" t="s">
        <v>99</v>
      </c>
      <c r="F66" s="10" t="s">
        <v>78</v>
      </c>
      <c r="G66" s="132" t="s">
        <v>100</v>
      </c>
      <c r="H66" s="11" t="s">
        <v>101</v>
      </c>
      <c r="I66" s="8" t="s">
        <v>263</v>
      </c>
      <c r="J66" s="11"/>
    </row>
    <row r="67" spans="1:11" x14ac:dyDescent="0.35">
      <c r="C67" t="s">
        <v>272</v>
      </c>
    </row>
    <row r="68" spans="1:11" s="12" customFormat="1" ht="24" customHeight="1" x14ac:dyDescent="0.35">
      <c r="C68" s="114" t="s">
        <v>240</v>
      </c>
      <c r="D68" s="8" t="s">
        <v>63</v>
      </c>
      <c r="E68" s="9" t="s">
        <v>64</v>
      </c>
      <c r="F68" s="10" t="s">
        <v>46</v>
      </c>
      <c r="G68" s="206" t="s">
        <v>65</v>
      </c>
      <c r="H68" s="11" t="s">
        <v>66</v>
      </c>
      <c r="I68" s="11" t="s">
        <v>259</v>
      </c>
      <c r="J68" s="11"/>
    </row>
    <row r="69" spans="1:11" s="12" customFormat="1" ht="31.25" customHeight="1" x14ac:dyDescent="0.4">
      <c r="C69" s="34"/>
      <c r="D69" s="128" t="s">
        <v>53</v>
      </c>
      <c r="E69" s="33" t="s">
        <v>54</v>
      </c>
      <c r="F69" s="20"/>
      <c r="G69" s="129" t="s">
        <v>55</v>
      </c>
      <c r="H69" s="20"/>
      <c r="I69" s="130" t="s">
        <v>260</v>
      </c>
      <c r="J69" s="20"/>
      <c r="K69" s="20"/>
    </row>
    <row r="70" spans="1:11" x14ac:dyDescent="0.35">
      <c r="A70" s="159"/>
      <c r="B70" s="159" t="s">
        <v>268</v>
      </c>
      <c r="C70" s="160" t="s">
        <v>72</v>
      </c>
      <c r="D70" s="160" t="s">
        <v>73</v>
      </c>
      <c r="E70" s="160" t="s">
        <v>269</v>
      </c>
      <c r="F70" s="160" t="s">
        <v>74</v>
      </c>
      <c r="G70" s="160" t="s">
        <v>75</v>
      </c>
      <c r="H70" s="160" t="s">
        <v>270</v>
      </c>
    </row>
    <row r="71" spans="1:11" x14ac:dyDescent="0.35">
      <c r="A71" s="161"/>
      <c r="B71" s="161"/>
      <c r="C71" s="162"/>
      <c r="D71" s="163"/>
      <c r="E71" s="164"/>
      <c r="F71" s="164"/>
      <c r="G71" s="164"/>
      <c r="H71" s="164"/>
    </row>
    <row r="72" spans="1:11" x14ac:dyDescent="0.35">
      <c r="A72" s="161"/>
      <c r="B72" s="161"/>
      <c r="C72" s="25"/>
      <c r="D72" s="165"/>
      <c r="E72" s="161"/>
      <c r="F72" s="161"/>
      <c r="G72" s="161"/>
      <c r="H72" s="161"/>
    </row>
    <row r="73" spans="1:11" x14ac:dyDescent="0.35">
      <c r="A73" s="161"/>
      <c r="B73" s="161"/>
      <c r="C73" s="162"/>
      <c r="D73" s="163"/>
      <c r="E73" s="164"/>
      <c r="F73" s="164"/>
      <c r="G73" s="164"/>
      <c r="H73" s="164"/>
    </row>
    <row r="74" spans="1:11" x14ac:dyDescent="0.35">
      <c r="A74" s="161"/>
      <c r="B74" s="161"/>
      <c r="C74" s="25"/>
      <c r="D74" s="165"/>
      <c r="E74" s="161"/>
      <c r="F74" s="161"/>
      <c r="G74" s="161"/>
      <c r="H74" s="161"/>
      <c r="I74" s="174" t="s">
        <v>301</v>
      </c>
    </row>
    <row r="75" spans="1:11" x14ac:dyDescent="0.35">
      <c r="A75" s="161"/>
      <c r="B75" s="161"/>
      <c r="C75" s="162"/>
      <c r="D75" s="163"/>
      <c r="E75" s="164"/>
      <c r="F75" s="164"/>
      <c r="G75" s="164"/>
      <c r="H75" s="164"/>
      <c r="I75" s="174" t="s">
        <v>302</v>
      </c>
    </row>
    <row r="76" spans="1:11" x14ac:dyDescent="0.35">
      <c r="A76" s="161"/>
      <c r="B76" s="161"/>
      <c r="C76" s="25"/>
      <c r="D76" s="165"/>
      <c r="E76" s="161"/>
      <c r="F76" s="161"/>
      <c r="G76" s="161"/>
      <c r="H76" s="161"/>
      <c r="I76" s="174" t="s">
        <v>303</v>
      </c>
    </row>
    <row r="77" spans="1:11" ht="16" x14ac:dyDescent="0.35">
      <c r="A77" s="161"/>
      <c r="B77" s="161"/>
      <c r="C77" s="162"/>
      <c r="D77" s="163"/>
      <c r="E77" s="164"/>
      <c r="F77" s="164"/>
      <c r="G77" s="164"/>
      <c r="H77" s="164"/>
      <c r="I77" s="175" t="s">
        <v>304</v>
      </c>
    </row>
    <row r="78" spans="1:11" x14ac:dyDescent="0.35">
      <c r="A78" s="161"/>
      <c r="B78" s="161"/>
      <c r="C78" s="25"/>
      <c r="D78" s="165"/>
      <c r="E78" s="161"/>
      <c r="F78" s="161"/>
      <c r="G78" s="161"/>
      <c r="H78" s="161"/>
      <c r="I78" s="174" t="s">
        <v>305</v>
      </c>
    </row>
    <row r="79" spans="1:11" x14ac:dyDescent="0.35">
      <c r="A79" s="166"/>
      <c r="B79" s="166"/>
      <c r="C79" s="162"/>
      <c r="D79" s="167"/>
      <c r="E79" s="168"/>
      <c r="F79" s="168"/>
      <c r="G79" s="168"/>
      <c r="H79" s="164"/>
      <c r="I79" s="177"/>
    </row>
    <row r="80" spans="1:11" ht="16" x14ac:dyDescent="0.35">
      <c r="A80" s="161">
        <v>6500582</v>
      </c>
      <c r="B80" s="161">
        <v>10500</v>
      </c>
      <c r="C80" s="25" t="s">
        <v>87</v>
      </c>
      <c r="D80" s="165" t="s">
        <v>46</v>
      </c>
      <c r="E80" s="161" t="s">
        <v>271</v>
      </c>
      <c r="F80" s="161" t="s">
        <v>88</v>
      </c>
      <c r="G80" s="161" t="s">
        <v>89</v>
      </c>
      <c r="H80" s="161"/>
      <c r="I80" s="176" t="s">
        <v>306</v>
      </c>
    </row>
    <row r="81" spans="1:9" x14ac:dyDescent="0.35">
      <c r="A81" s="161"/>
      <c r="B81" s="161"/>
      <c r="C81" s="162"/>
      <c r="D81" s="163"/>
      <c r="E81" s="164"/>
      <c r="F81" s="164"/>
      <c r="G81" s="164"/>
      <c r="H81" s="164"/>
      <c r="I81" s="174" t="s">
        <v>307</v>
      </c>
    </row>
    <row r="82" spans="1:9" x14ac:dyDescent="0.35">
      <c r="A82" s="161"/>
      <c r="B82" s="161"/>
      <c r="C82" s="25"/>
      <c r="D82" s="165"/>
      <c r="E82" s="161"/>
      <c r="F82" s="161"/>
      <c r="G82" s="161"/>
      <c r="H82" s="161"/>
      <c r="I82" s="174" t="s">
        <v>308</v>
      </c>
    </row>
    <row r="83" spans="1:9" x14ac:dyDescent="0.35">
      <c r="A83" s="161"/>
      <c r="B83" s="161"/>
      <c r="C83" s="162"/>
      <c r="D83" s="163"/>
      <c r="E83" s="164"/>
      <c r="F83" s="164"/>
      <c r="G83" s="164"/>
      <c r="H83" s="164"/>
    </row>
    <row r="84" spans="1:9" x14ac:dyDescent="0.35">
      <c r="A84" s="161"/>
      <c r="B84" s="161"/>
      <c r="C84" s="25"/>
      <c r="D84" s="165"/>
      <c r="E84" s="161"/>
      <c r="F84" s="161"/>
      <c r="G84" s="169"/>
      <c r="H84" s="161"/>
    </row>
    <row r="85" spans="1:9" x14ac:dyDescent="0.35">
      <c r="A85" s="161"/>
      <c r="B85" s="161"/>
      <c r="C85" s="162"/>
      <c r="D85" s="163"/>
      <c r="E85" s="164"/>
      <c r="F85" s="164"/>
      <c r="G85" s="164"/>
      <c r="H85" s="164"/>
    </row>
    <row r="86" spans="1:9" x14ac:dyDescent="0.35">
      <c r="A86" s="161"/>
      <c r="B86" s="161"/>
      <c r="C86" s="25"/>
      <c r="D86" s="165"/>
      <c r="E86" s="161"/>
      <c r="F86" s="161"/>
      <c r="G86" s="161"/>
      <c r="H86" s="161"/>
    </row>
  </sheetData>
  <hyperlinks>
    <hyperlink ref="E68" r:id="rId1" xr:uid="{115F9434-2959-47F5-90C6-89E75A9D3FEE}"/>
    <hyperlink ref="E27" r:id="rId2" xr:uid="{5D18CF3B-BDA6-4E19-AFCC-480FD0E274E1}"/>
    <hyperlink ref="E64" r:id="rId3" xr:uid="{D2CDC657-4207-490F-82B8-3F0CF5663BE9}"/>
    <hyperlink ref="E25" r:id="rId4" xr:uid="{41C9041A-D680-411E-B795-1B35754D19A2}"/>
    <hyperlink ref="E61" r:id="rId5" xr:uid="{F7FA7656-64FA-4C07-AEF1-D6F973EAD50C}"/>
    <hyperlink ref="E59" r:id="rId6" xr:uid="{229B15FE-2A2A-41D7-BAE7-4CB1E6F01682}"/>
    <hyperlink ref="E4" r:id="rId7" xr:uid="{B9AB0060-38D3-44F1-BF6D-F3716E80B472}"/>
    <hyperlink ref="E35" r:id="rId8" xr:uid="{51BACE10-D3ED-4264-A77B-662FC3C03EA6}"/>
    <hyperlink ref="E23" r:id="rId9" display="essie.amire@carrier.com" xr:uid="{4834E8E0-3764-4679-8EA6-CAF65F2E2B64}"/>
    <hyperlink ref="E8" r:id="rId10" xr:uid="{1BF30B44-E0EC-48E1-8575-D5D57D5DD536}"/>
    <hyperlink ref="E6" r:id="rId11" xr:uid="{81795DFA-6715-477E-9291-FF0C8B683B8D}"/>
    <hyperlink ref="E22" r:id="rId12" xr:uid="{0477FDD6-2882-469D-8E54-272371826CFD}"/>
    <hyperlink ref="E66" r:id="rId13" xr:uid="{36A1149F-141E-4B7D-83E7-0AAC4064C04D}"/>
    <hyperlink ref="E19" r:id="rId14" xr:uid="{6EB420A4-93B6-430B-AF79-B92659EE291D}"/>
    <hyperlink ref="E69" r:id="rId15" xr:uid="{20FA8CD7-D432-4C9D-BBE2-CAD497528F18}"/>
    <hyperlink ref="D50" r:id="rId16" display="Endre Stavseng estavseng@capturi.slb.com " xr:uid="{10FC10C3-9B55-4F07-AAC4-09EABC4124BF}"/>
    <hyperlink ref="E50" r:id="rId17" xr:uid="{384B131F-684C-4F37-90EB-38259F7ADCAC}"/>
    <hyperlink ref="E5" r:id="rId18" xr:uid="{88EF8DBC-0AB6-4801-838F-56444086DBE8}"/>
    <hyperlink ref="E45" r:id="rId19" xr:uid="{CE6EA1B7-5CDE-49DD-82B0-9E2E0310CF01}"/>
    <hyperlink ref="E48" r:id="rId20" xr:uid="{70C1D2DC-5302-4ABF-9015-CAE420E45B24}"/>
    <hyperlink ref="D48" r:id="rId21" display="Test Centre Mongstad DA, Muhammad Ismail Shah mis@tcmda.com" xr:uid="{0F4AB936-6DFC-4E4B-B4C8-536521C8A9F6}"/>
    <hyperlink ref="D63" r:id="rId22" xr:uid="{92F2FBDA-2E2B-4BE4-B016-2E3E00C0478B}"/>
    <hyperlink ref="H7" r:id="rId23" xr:uid="{99374E76-5DF9-4E63-B887-66DB915C7C75}"/>
    <hyperlink ref="D51" r:id="rId24" display="mailto:Stig.Botker@alterainfra.com" xr:uid="{8135012F-8585-4CAF-B4DB-1710436FD13E}"/>
    <hyperlink ref="D53" r:id="rId25" display="mailto:tallak.bakken@otechos.com" xr:uid="{9A56182E-8DE0-477D-B82F-955844B235B7}"/>
    <hyperlink ref="E34" r:id="rId26" xr:uid="{7E007628-20FD-44AE-8702-4A8AC2966829}"/>
    <hyperlink ref="D55" r:id="rId27" xr:uid="{D2D876A2-09A5-43C0-9B64-D6DBF45C243F}"/>
    <hyperlink ref="D57" r:id="rId28" xr:uid="{DBB7F7C7-6483-492C-88B6-6FDAA5EDCF17}"/>
    <hyperlink ref="D20" r:id="rId29" display="mailto:Tom.Haylock@sharecat.com" xr:uid="{D69F1E8F-9ADE-4DF9-9CFC-FA323DE02273}"/>
    <hyperlink ref="G52" r:id="rId30" xr:uid="{3011FA8D-BFE2-40F7-8D81-51FDE8039929}"/>
    <hyperlink ref="E17" r:id="rId31" xr:uid="{5E9155D0-3F3F-4C70-9599-2C630E4DAB06}"/>
    <hyperlink ref="C80" r:id="rId32" display="mailto:essie.amire@carrier.com" xr:uid="{621DD544-0D75-4078-8A3D-B98CBF1796E2}"/>
    <hyperlink ref="I39" r:id="rId33" display="mailto:thoregil.hafnor@spectrum-safety.com" xr:uid="{8039FFA2-F395-4226-AFEE-F2D8B4A06D7D}"/>
    <hyperlink ref="E11" r:id="rId34" tooltip="mailto:ka-mun.lam@cognite.com" display="mailto:ka-mun.lam@cognite.com" xr:uid="{E8F860D7-E7D2-469D-8EC7-3E3B46B79F4B}"/>
    <hyperlink ref="I74" r:id="rId35" tooltip="mailto:paal.braathen@lattice-technology.com" display="mailto:paal.braathen@lattice-technology.com" xr:uid="{47EF91E1-A01F-4F70-86DF-9A1CACE37FD6}"/>
    <hyperlink ref="I75" r:id="rId36" tooltip="mailto:per.erik.berger@coreall.no" display="mailto:per.erik.berger@coreall.no" xr:uid="{4EA29792-74AD-4113-BC21-97211E4AFA75}"/>
    <hyperlink ref="I76" r:id="rId37" tooltip="mailto:Iain.Hill@firenor.com" display="mailto:Iain.Hill@firenor.com" xr:uid="{AA5E34E9-5F25-459E-8EA6-AC485141A65E}"/>
    <hyperlink ref="I78" r:id="rId38" tooltip="mailto:andre@oliasoft.com" display="mailto:andre@oliasoft.com" xr:uid="{5858F2C9-80CA-40C5-B1D4-FCB913B38418}"/>
    <hyperlink ref="I81" r:id="rId39" tooltip="mailto:frank.vollen@safetec.no" display="mailto:frank.vollen@safetec.no" xr:uid="{0E5DE7E1-09FB-4FE5-BD0F-7EB2A838980C}"/>
    <hyperlink ref="I82" r:id="rId40" tooltip="mailto:cph@csub.com" display="mailto:cph@csub.com" xr:uid="{59938495-DCAB-415F-9A74-E4AAA5E8BD54}"/>
    <hyperlink ref="E65" r:id="rId41" tooltip="mailto:janne.berglund@daphnetech.com" display="mailto:janne.berglund@daphnetech.com" xr:uid="{C578D08B-474E-4207-8D94-A2E513B1B10F}"/>
  </hyperlinks>
  <pageMargins left="0.7" right="0.7" top="0.75" bottom="0.75" header="0.3" footer="0.3"/>
  <legacy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7D8C-CF44-43FF-88AB-FE13CBD40D07}">
  <dimension ref="A1:R61"/>
  <sheetViews>
    <sheetView zoomScale="90" zoomScaleNormal="90" workbookViewId="0">
      <selection activeCell="M7" sqref="M7"/>
    </sheetView>
  </sheetViews>
  <sheetFormatPr defaultColWidth="8.90625" defaultRowHeight="14.5" x14ac:dyDescent="0.35"/>
  <cols>
    <col min="1" max="1" width="34.453125" bestFit="1" customWidth="1"/>
    <col min="2" max="2" width="6.453125" customWidth="1"/>
    <col min="3" max="3" width="2" customWidth="1"/>
    <col min="4" max="4" width="11.54296875" customWidth="1"/>
    <col min="5" max="5" width="3.90625" customWidth="1"/>
    <col min="6" max="6" width="11.36328125" customWidth="1"/>
    <col min="7" max="7" width="9.90625" customWidth="1"/>
    <col min="8" max="8" width="11" bestFit="1" customWidth="1"/>
    <col min="9" max="9" width="3.6328125" customWidth="1"/>
    <col min="10" max="10" width="11" bestFit="1" customWidth="1"/>
    <col min="12" max="12" width="18.08984375" customWidth="1"/>
    <col min="16" max="16" width="15.90625" customWidth="1"/>
    <col min="18" max="18" width="12.36328125" customWidth="1"/>
  </cols>
  <sheetData>
    <row r="1" spans="1:18" ht="18.5" x14ac:dyDescent="0.45">
      <c r="A1" s="40" t="s">
        <v>143</v>
      </c>
      <c r="B1" s="41"/>
      <c r="C1" s="40"/>
      <c r="D1" s="309"/>
      <c r="E1" s="309"/>
      <c r="F1" s="309"/>
      <c r="G1" s="41"/>
      <c r="H1" s="309"/>
      <c r="I1" s="309"/>
      <c r="J1" s="309"/>
      <c r="K1" s="41"/>
      <c r="L1" s="41"/>
      <c r="M1" s="41"/>
      <c r="N1" s="41"/>
    </row>
    <row r="2" spans="1:18" x14ac:dyDescent="0.35">
      <c r="A2" s="41"/>
      <c r="B2" s="42"/>
      <c r="C2" s="41"/>
      <c r="D2" s="43" t="s">
        <v>144</v>
      </c>
      <c r="E2" s="42"/>
      <c r="F2" s="43" t="s">
        <v>144</v>
      </c>
      <c r="G2" s="42"/>
      <c r="H2" s="43" t="s">
        <v>145</v>
      </c>
      <c r="I2" s="42"/>
      <c r="J2" s="43" t="s">
        <v>145</v>
      </c>
      <c r="K2" s="44"/>
      <c r="L2" s="41"/>
      <c r="M2" s="41"/>
      <c r="N2" s="41"/>
    </row>
    <row r="3" spans="1:18" x14ac:dyDescent="0.35">
      <c r="A3" s="45"/>
      <c r="B3" s="46"/>
      <c r="C3" s="45"/>
      <c r="D3" s="47" t="s">
        <v>146</v>
      </c>
      <c r="E3" s="46"/>
      <c r="F3" s="47" t="s">
        <v>146</v>
      </c>
      <c r="G3" s="46"/>
      <c r="H3" s="47" t="s">
        <v>146</v>
      </c>
      <c r="I3" s="46"/>
      <c r="J3" s="47" t="s">
        <v>146</v>
      </c>
      <c r="K3" s="48"/>
      <c r="L3" s="41"/>
      <c r="M3" s="41"/>
      <c r="N3" s="41"/>
    </row>
    <row r="4" spans="1:18" x14ac:dyDescent="0.35">
      <c r="A4" s="49"/>
      <c r="B4" s="50"/>
      <c r="C4" s="49"/>
      <c r="D4" s="51" t="s">
        <v>147</v>
      </c>
      <c r="E4" s="50"/>
      <c r="F4" s="51" t="s">
        <v>148</v>
      </c>
      <c r="G4" s="50"/>
      <c r="H4" s="51" t="s">
        <v>147</v>
      </c>
      <c r="I4" s="50"/>
      <c r="J4" s="51" t="s">
        <v>148</v>
      </c>
      <c r="K4" s="44"/>
      <c r="L4" s="41"/>
      <c r="M4" s="41"/>
      <c r="N4" s="41"/>
    </row>
    <row r="5" spans="1:18" x14ac:dyDescent="0.35">
      <c r="A5" s="52" t="s">
        <v>149</v>
      </c>
      <c r="B5" s="52"/>
      <c r="C5" s="52"/>
      <c r="D5" s="53"/>
      <c r="E5" s="54"/>
      <c r="F5" s="53"/>
      <c r="G5" s="52"/>
      <c r="H5" s="53"/>
      <c r="I5" s="54"/>
      <c r="J5" s="53"/>
      <c r="K5" s="44"/>
      <c r="L5" s="41"/>
      <c r="M5" s="55" t="s">
        <v>150</v>
      </c>
      <c r="N5" s="55" t="s">
        <v>11</v>
      </c>
    </row>
    <row r="6" spans="1:18" x14ac:dyDescent="0.35">
      <c r="A6" s="44" t="s">
        <v>151</v>
      </c>
      <c r="B6" s="73"/>
      <c r="C6" s="44"/>
      <c r="D6" s="56">
        <f>820*191.2</f>
        <v>156784</v>
      </c>
      <c r="E6" s="73"/>
      <c r="F6" s="56">
        <f t="shared" ref="F6:F12" si="0">D6*$B$31</f>
        <v>1850051.2000000002</v>
      </c>
      <c r="G6" s="73"/>
      <c r="H6" s="56">
        <f>820*100.48</f>
        <v>82393.600000000006</v>
      </c>
      <c r="I6" s="73"/>
      <c r="J6" s="56">
        <f t="shared" ref="J6:J12" si="1">H6*$B$31</f>
        <v>972244.4800000001</v>
      </c>
      <c r="K6" s="57"/>
      <c r="L6" s="41"/>
      <c r="M6" s="41"/>
      <c r="N6" s="41"/>
      <c r="P6" t="s">
        <v>152</v>
      </c>
      <c r="Q6" t="s">
        <v>12</v>
      </c>
      <c r="R6" t="s">
        <v>13</v>
      </c>
    </row>
    <row r="7" spans="1:18" x14ac:dyDescent="0.35">
      <c r="A7" s="44" t="s">
        <v>153</v>
      </c>
      <c r="B7" s="73"/>
      <c r="C7" s="44"/>
      <c r="D7" s="56">
        <f>1300*11</f>
        <v>14300</v>
      </c>
      <c r="E7" s="73"/>
      <c r="F7" s="56">
        <f t="shared" si="0"/>
        <v>168740</v>
      </c>
      <c r="G7" s="73"/>
      <c r="H7" s="56">
        <f>1300*11</f>
        <v>14300</v>
      </c>
      <c r="I7" s="73"/>
      <c r="J7" s="56">
        <f t="shared" si="1"/>
        <v>168740</v>
      </c>
      <c r="K7" s="57"/>
      <c r="L7" s="41" t="s">
        <v>154</v>
      </c>
      <c r="M7" s="57">
        <f>N7/$B$31</f>
        <v>50847.457627118638</v>
      </c>
      <c r="N7" s="44">
        <f>200000*3</f>
        <v>600000</v>
      </c>
      <c r="P7" t="s">
        <v>15</v>
      </c>
      <c r="Q7" s="58" t="s">
        <v>16</v>
      </c>
      <c r="R7" s="59">
        <f>230*4</f>
        <v>920</v>
      </c>
    </row>
    <row r="8" spans="1:18" x14ac:dyDescent="0.35">
      <c r="A8" s="44" t="s">
        <v>155</v>
      </c>
      <c r="B8" s="73"/>
      <c r="C8" s="44"/>
      <c r="D8" s="56">
        <v>600</v>
      </c>
      <c r="E8" s="73"/>
      <c r="F8" s="56">
        <f t="shared" si="0"/>
        <v>7080</v>
      </c>
      <c r="G8" s="73"/>
      <c r="H8" s="56">
        <v>600</v>
      </c>
      <c r="I8" s="73"/>
      <c r="J8" s="56">
        <f t="shared" si="1"/>
        <v>7080</v>
      </c>
      <c r="K8" s="57"/>
      <c r="L8" s="41" t="s">
        <v>17</v>
      </c>
      <c r="M8" s="57">
        <f>N8/$B$31</f>
        <v>81355.932203389821</v>
      </c>
      <c r="N8" s="44">
        <f>120000*8</f>
        <v>960000</v>
      </c>
      <c r="P8" t="s">
        <v>18</v>
      </c>
      <c r="Q8" t="s">
        <v>19</v>
      </c>
      <c r="R8" s="59">
        <f>95*6</f>
        <v>570</v>
      </c>
    </row>
    <row r="9" spans="1:18" x14ac:dyDescent="0.35">
      <c r="A9" s="44" t="s">
        <v>156</v>
      </c>
      <c r="B9" s="73"/>
      <c r="C9" s="44"/>
      <c r="D9" s="56">
        <f>130000+130000*22%</f>
        <v>158600</v>
      </c>
      <c r="E9" s="73"/>
      <c r="F9" s="56">
        <f t="shared" si="0"/>
        <v>1871480</v>
      </c>
      <c r="G9" s="73"/>
      <c r="H9" s="56">
        <f>80000+80000*22%</f>
        <v>97600</v>
      </c>
      <c r="I9" s="73"/>
      <c r="J9" s="56">
        <f t="shared" si="1"/>
        <v>1151680</v>
      </c>
      <c r="K9" s="57"/>
      <c r="L9" s="60" t="s">
        <v>20</v>
      </c>
      <c r="M9" s="57">
        <f>N9/$B$31</f>
        <v>20338.983050847455</v>
      </c>
      <c r="N9" s="44">
        <f>30000*8</f>
        <v>240000</v>
      </c>
      <c r="P9">
        <v>25</v>
      </c>
      <c r="Q9">
        <v>8</v>
      </c>
      <c r="R9" s="59">
        <f>P9*Q9</f>
        <v>200</v>
      </c>
    </row>
    <row r="10" spans="1:18" x14ac:dyDescent="0.35">
      <c r="A10" s="41" t="s">
        <v>157</v>
      </c>
      <c r="B10" s="74"/>
      <c r="C10" s="41"/>
      <c r="D10" s="56">
        <v>3000</v>
      </c>
      <c r="E10" s="73"/>
      <c r="F10" s="56">
        <f t="shared" si="0"/>
        <v>35400</v>
      </c>
      <c r="G10" s="73"/>
      <c r="H10" s="56">
        <v>3000</v>
      </c>
      <c r="I10" s="73"/>
      <c r="J10" s="56">
        <f t="shared" si="1"/>
        <v>35400</v>
      </c>
      <c r="K10" s="57"/>
      <c r="L10" s="41"/>
      <c r="M10" s="57"/>
      <c r="N10" s="41"/>
    </row>
    <row r="11" spans="1:18" x14ac:dyDescent="0.35">
      <c r="A11" s="41" t="s">
        <v>158</v>
      </c>
      <c r="B11" s="74"/>
      <c r="C11" s="41"/>
      <c r="D11" s="56">
        <v>5000</v>
      </c>
      <c r="E11" s="73"/>
      <c r="F11" s="56">
        <f t="shared" si="0"/>
        <v>59000</v>
      </c>
      <c r="G11" s="73"/>
      <c r="H11" s="56">
        <v>5000</v>
      </c>
      <c r="I11" s="73"/>
      <c r="J11" s="56">
        <f t="shared" si="1"/>
        <v>59000</v>
      </c>
      <c r="K11" s="57"/>
      <c r="L11" s="55" t="s">
        <v>22</v>
      </c>
      <c r="M11" s="61">
        <f>SUM(M7:M10)</f>
        <v>152542.3728813559</v>
      </c>
      <c r="N11" s="62">
        <f>SUM(N7:N10)</f>
        <v>1800000</v>
      </c>
      <c r="R11" s="59">
        <f>SUM(R7:R10)</f>
        <v>1690</v>
      </c>
    </row>
    <row r="12" spans="1:18" x14ac:dyDescent="0.35">
      <c r="A12" s="41" t="s">
        <v>159</v>
      </c>
      <c r="B12" s="74"/>
      <c r="C12" s="41"/>
      <c r="D12" s="56">
        <v>5000</v>
      </c>
      <c r="E12" s="73"/>
      <c r="F12" s="56">
        <f t="shared" si="0"/>
        <v>59000</v>
      </c>
      <c r="G12" s="73"/>
      <c r="H12" s="56">
        <v>5000</v>
      </c>
      <c r="I12" s="73"/>
      <c r="J12" s="56">
        <f t="shared" si="1"/>
        <v>59000</v>
      </c>
      <c r="K12" s="57"/>
      <c r="L12" s="41"/>
      <c r="M12" s="41"/>
      <c r="N12" s="41"/>
    </row>
    <row r="13" spans="1:18" x14ac:dyDescent="0.35">
      <c r="A13" s="63" t="s">
        <v>160</v>
      </c>
      <c r="B13" s="75"/>
      <c r="C13" s="63"/>
      <c r="D13" s="64">
        <f>SUM(D5:D12)</f>
        <v>343284</v>
      </c>
      <c r="E13" s="75"/>
      <c r="F13" s="64">
        <f>SUM(F5:F12)</f>
        <v>4050751.2</v>
      </c>
      <c r="G13" s="75"/>
      <c r="H13" s="64">
        <f>SUM(H5:H12)</f>
        <v>207893.6</v>
      </c>
      <c r="I13" s="75"/>
      <c r="J13" s="64">
        <f>SUM(J5:J12)</f>
        <v>2453144.48</v>
      </c>
      <c r="K13" s="57"/>
      <c r="L13" s="41"/>
      <c r="M13" s="41"/>
      <c r="N13" s="41"/>
      <c r="R13" s="1"/>
    </row>
    <row r="14" spans="1:18" x14ac:dyDescent="0.35">
      <c r="A14" s="41"/>
      <c r="B14" s="74"/>
      <c r="C14" s="41"/>
      <c r="D14" s="43"/>
      <c r="E14" s="74"/>
      <c r="F14" s="56"/>
      <c r="G14" s="74"/>
      <c r="H14" s="43"/>
      <c r="I14" s="74"/>
      <c r="J14" s="56"/>
      <c r="K14" s="57"/>
      <c r="L14" s="41"/>
      <c r="M14" s="41"/>
      <c r="N14" s="41"/>
    </row>
    <row r="15" spans="1:18" x14ac:dyDescent="0.35">
      <c r="A15" s="41" t="s">
        <v>161</v>
      </c>
      <c r="B15" s="74"/>
      <c r="C15" s="41"/>
      <c r="D15" s="56">
        <f>F15/B31</f>
        <v>45762.711864406774</v>
      </c>
      <c r="E15" s="74"/>
      <c r="F15" s="56">
        <f>1800*300</f>
        <v>540000</v>
      </c>
      <c r="G15" s="74"/>
      <c r="H15" s="56">
        <f>J15/B31</f>
        <v>45762.711864406774</v>
      </c>
      <c r="I15" s="74"/>
      <c r="J15" s="56">
        <f>1800*300</f>
        <v>540000</v>
      </c>
      <c r="K15" s="57"/>
      <c r="L15" s="41"/>
      <c r="M15" s="41"/>
      <c r="N15" s="41"/>
      <c r="R15" s="59"/>
    </row>
    <row r="16" spans="1:18" x14ac:dyDescent="0.35">
      <c r="A16" s="65" t="s">
        <v>162</v>
      </c>
      <c r="B16" s="76"/>
      <c r="C16" s="65"/>
      <c r="D16" s="76">
        <f>SUM(D13:D15)</f>
        <v>389046.71186440677</v>
      </c>
      <c r="E16" s="76"/>
      <c r="F16" s="76">
        <f>SUM(F13:F15)</f>
        <v>4590751.2</v>
      </c>
      <c r="G16" s="76"/>
      <c r="H16" s="76">
        <f>SUM(H13:H15)</f>
        <v>253656.31186440677</v>
      </c>
      <c r="I16" s="76"/>
      <c r="J16" s="76">
        <f>SUM(J13:J15)</f>
        <v>2993144.48</v>
      </c>
      <c r="K16" s="57"/>
      <c r="L16" s="41"/>
      <c r="M16" s="41"/>
      <c r="N16" s="41"/>
    </row>
    <row r="17" spans="1:14" x14ac:dyDescent="0.35">
      <c r="A17" s="66"/>
      <c r="B17" s="77"/>
      <c r="C17" s="66"/>
      <c r="D17" s="77"/>
      <c r="E17" s="77"/>
      <c r="F17" s="77"/>
      <c r="G17" s="77"/>
      <c r="H17" s="77"/>
      <c r="I17" s="77"/>
      <c r="J17" s="77"/>
      <c r="K17" s="57"/>
      <c r="L17" s="67"/>
      <c r="M17" s="41"/>
      <c r="N17" s="41"/>
    </row>
    <row r="18" spans="1:14" x14ac:dyDescent="0.35">
      <c r="A18" s="52" t="s">
        <v>163</v>
      </c>
      <c r="B18" s="78"/>
      <c r="C18" s="52"/>
      <c r="D18" s="53"/>
      <c r="E18" s="79"/>
      <c r="F18" s="53"/>
      <c r="G18" s="78"/>
      <c r="H18" s="53"/>
      <c r="I18" s="79"/>
      <c r="J18" s="53"/>
      <c r="K18" s="80"/>
      <c r="L18" s="68"/>
      <c r="M18" s="41"/>
      <c r="N18" s="69"/>
    </row>
    <row r="19" spans="1:14" x14ac:dyDescent="0.35">
      <c r="A19" s="44" t="s">
        <v>164</v>
      </c>
      <c r="B19" s="74"/>
      <c r="C19" s="44"/>
      <c r="D19" s="70">
        <f>-M11</f>
        <v>-152542.3728813559</v>
      </c>
      <c r="E19" s="81"/>
      <c r="F19" s="70">
        <f>D19*$B$31</f>
        <v>-1799999.9999999998</v>
      </c>
      <c r="G19" s="74"/>
      <c r="H19" s="70">
        <f>-M11</f>
        <v>-152542.3728813559</v>
      </c>
      <c r="I19" s="81"/>
      <c r="J19" s="70">
        <f>H19*$B$31</f>
        <v>-1799999.9999999998</v>
      </c>
      <c r="K19" s="80"/>
      <c r="L19" s="68"/>
      <c r="M19" s="41"/>
      <c r="N19" s="82"/>
    </row>
    <row r="20" spans="1:14" x14ac:dyDescent="0.35">
      <c r="A20" s="44" t="s">
        <v>165</v>
      </c>
      <c r="B20" s="74"/>
      <c r="C20" s="44"/>
      <c r="D20" s="70">
        <f>F20/B31</f>
        <v>-67796.610169491527</v>
      </c>
      <c r="E20" s="81"/>
      <c r="F20" s="70">
        <v>-800000</v>
      </c>
      <c r="G20" s="74"/>
      <c r="H20" s="70">
        <f>J20/B31</f>
        <v>-67796.610169491527</v>
      </c>
      <c r="I20" s="81"/>
      <c r="J20" s="70">
        <v>-800000</v>
      </c>
      <c r="K20" s="44"/>
      <c r="L20" s="68"/>
      <c r="M20" s="41"/>
      <c r="N20" s="82"/>
    </row>
    <row r="21" spans="1:14" x14ac:dyDescent="0.35">
      <c r="A21" s="44"/>
      <c r="B21" s="74"/>
      <c r="C21" s="44"/>
      <c r="D21" s="70"/>
      <c r="E21" s="81"/>
      <c r="F21" s="70"/>
      <c r="G21" s="74"/>
      <c r="H21" s="70"/>
      <c r="I21" s="81"/>
      <c r="J21" s="70"/>
      <c r="K21" s="57"/>
      <c r="L21" s="41"/>
      <c r="M21" s="41"/>
      <c r="N21" s="41"/>
    </row>
    <row r="22" spans="1:14" x14ac:dyDescent="0.35">
      <c r="A22" s="65" t="s">
        <v>166</v>
      </c>
      <c r="B22" s="76"/>
      <c r="C22" s="65"/>
      <c r="D22" s="76">
        <f>SUM(D18:D21)</f>
        <v>-220338.98305084743</v>
      </c>
      <c r="E22" s="76"/>
      <c r="F22" s="76">
        <f>SUM(F18:F21)</f>
        <v>-2600000</v>
      </c>
      <c r="G22" s="76"/>
      <c r="H22" s="76">
        <f>SUM(H18:H21)</f>
        <v>-220338.98305084743</v>
      </c>
      <c r="I22" s="76"/>
      <c r="J22" s="76">
        <f>SUM(J18:J21)</f>
        <v>-2600000</v>
      </c>
      <c r="K22" s="57"/>
      <c r="L22" s="67"/>
      <c r="M22" s="41"/>
      <c r="N22" s="41"/>
    </row>
    <row r="23" spans="1:14" x14ac:dyDescent="0.35">
      <c r="A23" s="44" t="s">
        <v>167</v>
      </c>
      <c r="B23" s="74"/>
      <c r="C23" s="44"/>
      <c r="D23" s="70">
        <f>-D15</f>
        <v>-45762.711864406774</v>
      </c>
      <c r="E23" s="81"/>
      <c r="F23" s="70">
        <f>-F15</f>
        <v>-540000</v>
      </c>
      <c r="G23" s="74"/>
      <c r="H23" s="70">
        <f>-H15</f>
        <v>-45762.711864406774</v>
      </c>
      <c r="I23" s="81"/>
      <c r="J23" s="70">
        <f>-J15</f>
        <v>-540000</v>
      </c>
      <c r="K23" s="57"/>
      <c r="L23" s="68"/>
      <c r="M23" s="41"/>
      <c r="N23" s="41"/>
    </row>
    <row r="24" spans="1:14" x14ac:dyDescent="0.35">
      <c r="A24" s="65" t="s">
        <v>168</v>
      </c>
      <c r="B24" s="76"/>
      <c r="C24" s="65"/>
      <c r="D24" s="76">
        <f>D22+D23</f>
        <v>-266101.69491525419</v>
      </c>
      <c r="E24" s="76"/>
      <c r="F24" s="76">
        <f>F22+F23</f>
        <v>-3140000</v>
      </c>
      <c r="G24" s="76"/>
      <c r="H24" s="76">
        <f>H22+H23</f>
        <v>-266101.69491525419</v>
      </c>
      <c r="I24" s="76"/>
      <c r="J24" s="76">
        <f>J22+J23</f>
        <v>-3140000</v>
      </c>
      <c r="K24" s="57"/>
      <c r="L24" s="68"/>
      <c r="M24" s="41"/>
      <c r="N24" s="82"/>
    </row>
    <row r="25" spans="1:14" x14ac:dyDescent="0.35">
      <c r="A25" s="41"/>
      <c r="B25" s="74"/>
      <c r="C25" s="41"/>
      <c r="D25" s="43"/>
      <c r="E25" s="74"/>
      <c r="F25" s="43"/>
      <c r="G25" s="74"/>
      <c r="H25" s="43"/>
      <c r="I25" s="74"/>
      <c r="J25" s="43"/>
      <c r="K25" s="44"/>
      <c r="L25" s="68"/>
      <c r="M25" s="41"/>
      <c r="N25" s="82"/>
    </row>
    <row r="26" spans="1:14" x14ac:dyDescent="0.35">
      <c r="A26" s="71" t="s">
        <v>169</v>
      </c>
      <c r="B26" s="83"/>
      <c r="C26" s="72"/>
      <c r="D26" s="84">
        <f>SUM(D24+D16)</f>
        <v>122945.01694915257</v>
      </c>
      <c r="E26" s="84"/>
      <c r="F26" s="84">
        <f>SUM(F24+F16)</f>
        <v>1450751.2000000002</v>
      </c>
      <c r="G26" s="83"/>
      <c r="H26" s="84">
        <f>SUM(H24+H16)</f>
        <v>-12445.38305084742</v>
      </c>
      <c r="I26" s="84"/>
      <c r="J26" s="84">
        <f>SUM(J24+J16)</f>
        <v>-146855.52000000002</v>
      </c>
      <c r="K26" s="80"/>
      <c r="L26" s="41"/>
      <c r="M26" s="41"/>
      <c r="N26" s="41"/>
    </row>
    <row r="27" spans="1:14" x14ac:dyDescent="0.3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4"/>
      <c r="L27" s="41"/>
      <c r="M27" s="41"/>
      <c r="N27" s="41"/>
    </row>
    <row r="28" spans="1:14" x14ac:dyDescent="0.35">
      <c r="A28" s="41"/>
      <c r="B28" s="41"/>
      <c r="C28" s="41"/>
      <c r="D28" s="41"/>
      <c r="E28" s="41"/>
      <c r="F28" s="41"/>
      <c r="G28" s="41"/>
      <c r="H28" s="85"/>
      <c r="I28" s="41"/>
      <c r="J28" s="41"/>
      <c r="K28" s="80"/>
      <c r="L28" s="41"/>
      <c r="M28" s="41"/>
      <c r="N28" s="41"/>
    </row>
    <row r="29" spans="1:14" x14ac:dyDescent="0.35">
      <c r="A29" s="86">
        <v>2025</v>
      </c>
      <c r="B29" s="87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14" x14ac:dyDescent="0.35">
      <c r="A30" s="86" t="s">
        <v>170</v>
      </c>
      <c r="B30" s="88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14" x14ac:dyDescent="0.35">
      <c r="A31" s="86" t="s">
        <v>171</v>
      </c>
      <c r="B31" s="89">
        <v>11.8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57" spans="8:15" x14ac:dyDescent="0.35">
      <c r="H57" s="41"/>
      <c r="I57" s="41"/>
      <c r="J57" s="41"/>
      <c r="K57" s="41"/>
      <c r="L57" s="44"/>
      <c r="M57" s="41"/>
      <c r="N57" s="41"/>
      <c r="O57" s="41"/>
    </row>
    <row r="58" spans="8:15" x14ac:dyDescent="0.35">
      <c r="H58" s="41"/>
      <c r="I58" s="85"/>
      <c r="J58" s="41"/>
      <c r="K58" s="41"/>
      <c r="L58" s="80"/>
      <c r="M58" s="41"/>
      <c r="N58" s="41"/>
      <c r="O58" s="41"/>
    </row>
    <row r="59" spans="8:15" x14ac:dyDescent="0.35">
      <c r="H59" s="41"/>
      <c r="I59" s="41"/>
      <c r="J59" s="41"/>
      <c r="K59" s="41"/>
      <c r="L59" s="41"/>
      <c r="M59" s="41"/>
      <c r="N59" s="41"/>
      <c r="O59" s="41"/>
    </row>
    <row r="60" spans="8:15" x14ac:dyDescent="0.35">
      <c r="H60" s="41"/>
      <c r="I60" s="41"/>
      <c r="J60" s="41"/>
      <c r="K60" s="41"/>
      <c r="L60" s="41"/>
      <c r="M60" s="41"/>
      <c r="N60" s="41"/>
      <c r="O60" s="41"/>
    </row>
    <row r="61" spans="8:15" x14ac:dyDescent="0.35">
      <c r="H61" s="41"/>
      <c r="I61" s="41"/>
      <c r="J61" s="41"/>
      <c r="K61" s="41"/>
      <c r="L61" s="41"/>
      <c r="M61" s="41"/>
      <c r="N61" s="41"/>
      <c r="O61" s="41"/>
    </row>
  </sheetData>
  <mergeCells count="2">
    <mergeCell ref="D1:F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DC20-F7A1-464F-A7B9-BBB9A0C1B365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DBD0-EFEF-4EF6-9BE7-FDFCEC4475D0}">
  <dimension ref="A3:L6"/>
  <sheetViews>
    <sheetView workbookViewId="0">
      <selection activeCell="J11" sqref="J11"/>
    </sheetView>
  </sheetViews>
  <sheetFormatPr defaultColWidth="8.90625" defaultRowHeight="14.5" x14ac:dyDescent="0.35"/>
  <cols>
    <col min="4" max="4" width="16.08984375" customWidth="1"/>
  </cols>
  <sheetData>
    <row r="3" spans="1:12" ht="29" x14ac:dyDescent="0.35">
      <c r="A3" s="17">
        <v>193200</v>
      </c>
      <c r="B3" s="17" t="s">
        <v>150</v>
      </c>
      <c r="C3" s="15"/>
      <c r="D3" s="14" t="s">
        <v>172</v>
      </c>
      <c r="E3" s="18">
        <v>101000</v>
      </c>
      <c r="F3" s="16"/>
      <c r="G3" s="15"/>
      <c r="H3" s="16"/>
      <c r="I3" s="13"/>
      <c r="J3" s="13"/>
      <c r="K3" s="13"/>
      <c r="L3" s="13"/>
    </row>
    <row r="4" spans="1:12" ht="29" x14ac:dyDescent="0.35">
      <c r="A4" s="17">
        <v>2270100</v>
      </c>
      <c r="B4" s="17" t="s">
        <v>11</v>
      </c>
      <c r="C4" s="15"/>
      <c r="D4" s="16" t="s">
        <v>173</v>
      </c>
      <c r="E4" s="15" t="s">
        <v>174</v>
      </c>
      <c r="F4" s="16"/>
      <c r="G4" s="15"/>
      <c r="H4" s="16"/>
      <c r="I4" s="13"/>
      <c r="J4" s="13"/>
      <c r="K4" s="13"/>
      <c r="L4" s="13"/>
    </row>
    <row r="5" spans="1:12" x14ac:dyDescent="0.35">
      <c r="A5" s="15"/>
      <c r="B5" s="15"/>
      <c r="C5" s="15"/>
      <c r="D5" s="16"/>
      <c r="E5" s="15"/>
      <c r="F5" s="16"/>
      <c r="G5" s="15"/>
      <c r="H5" s="16"/>
      <c r="I5" s="13"/>
      <c r="J5" s="13"/>
      <c r="K5" s="13"/>
      <c r="L5" s="13"/>
    </row>
    <row r="6" spans="1:12" x14ac:dyDescent="0.35">
      <c r="A6" s="15">
        <v>11.75</v>
      </c>
      <c r="B6" s="15"/>
      <c r="C6" s="15"/>
      <c r="D6" s="14" t="s">
        <v>175</v>
      </c>
      <c r="E6" s="19">
        <v>110000</v>
      </c>
      <c r="F6" s="16"/>
      <c r="G6" s="15"/>
      <c r="H6" s="16"/>
      <c r="I6" s="13"/>
      <c r="J6" s="13"/>
      <c r="K6" s="13"/>
      <c r="L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CC7A-8F32-47B1-A9E3-B9D77404F93D}">
  <dimension ref="A2:L45"/>
  <sheetViews>
    <sheetView workbookViewId="0">
      <selection activeCell="A25" sqref="A25"/>
    </sheetView>
  </sheetViews>
  <sheetFormatPr defaultColWidth="8.90625" defaultRowHeight="14.5" x14ac:dyDescent="0.35"/>
  <cols>
    <col min="1" max="1" width="32.453125" customWidth="1"/>
    <col min="2" max="2" width="26.36328125" customWidth="1"/>
    <col min="3" max="3" width="27.54296875" customWidth="1"/>
    <col min="4" max="4" width="19" customWidth="1"/>
    <col min="5" max="5" width="11.08984375" customWidth="1"/>
    <col min="6" max="6" width="17.90625" customWidth="1"/>
  </cols>
  <sheetData>
    <row r="2" spans="1:12" x14ac:dyDescent="0.35">
      <c r="A2" t="s">
        <v>29</v>
      </c>
      <c r="B2" t="s">
        <v>191</v>
      </c>
      <c r="C2" t="s">
        <v>192</v>
      </c>
      <c r="D2" t="s">
        <v>193</v>
      </c>
      <c r="E2" s="4" t="s">
        <v>194</v>
      </c>
      <c r="F2" t="s">
        <v>195</v>
      </c>
      <c r="G2" t="s">
        <v>196</v>
      </c>
    </row>
    <row r="3" spans="1:12" x14ac:dyDescent="0.35">
      <c r="A3" t="s">
        <v>43</v>
      </c>
      <c r="B3" s="26" t="s">
        <v>197</v>
      </c>
      <c r="C3" s="26">
        <v>1</v>
      </c>
      <c r="D3" s="27"/>
      <c r="E3" s="4"/>
    </row>
    <row r="4" spans="1:12" x14ac:dyDescent="0.35">
      <c r="A4" t="s">
        <v>198</v>
      </c>
      <c r="B4" t="s">
        <v>199</v>
      </c>
      <c r="C4">
        <v>1</v>
      </c>
      <c r="E4" s="4"/>
    </row>
    <row r="5" spans="1:12" x14ac:dyDescent="0.35">
      <c r="A5" t="s">
        <v>200</v>
      </c>
      <c r="B5" t="s">
        <v>201</v>
      </c>
      <c r="C5">
        <v>1</v>
      </c>
      <c r="E5" s="4"/>
      <c r="L5" s="28"/>
    </row>
    <row r="6" spans="1:12" x14ac:dyDescent="0.35">
      <c r="A6" t="s">
        <v>202</v>
      </c>
      <c r="B6" s="26" t="s">
        <v>203</v>
      </c>
      <c r="C6" s="26"/>
      <c r="E6" s="4"/>
      <c r="L6" s="28"/>
    </row>
    <row r="7" spans="1:12" s="20" customFormat="1" x14ac:dyDescent="0.35">
      <c r="A7" s="20" t="s">
        <v>110</v>
      </c>
      <c r="B7" s="91" t="s">
        <v>111</v>
      </c>
      <c r="C7" s="91"/>
      <c r="E7" s="34"/>
      <c r="L7" s="92"/>
    </row>
    <row r="8" spans="1:12" x14ac:dyDescent="0.35">
      <c r="A8" t="s">
        <v>204</v>
      </c>
      <c r="B8" s="25" t="s">
        <v>205</v>
      </c>
      <c r="C8" s="25">
        <v>1</v>
      </c>
      <c r="E8" s="4"/>
      <c r="L8" s="28"/>
    </row>
    <row r="9" spans="1:12" x14ac:dyDescent="0.35">
      <c r="A9" t="s">
        <v>206</v>
      </c>
      <c r="B9" s="26" t="s">
        <v>207</v>
      </c>
      <c r="C9" s="26">
        <v>1</v>
      </c>
      <c r="E9" s="4"/>
      <c r="L9" s="28"/>
    </row>
    <row r="10" spans="1:12" s="30" customFormat="1" x14ac:dyDescent="0.35">
      <c r="A10" s="30" t="s">
        <v>70</v>
      </c>
      <c r="B10" s="32" t="s">
        <v>71</v>
      </c>
      <c r="C10" s="32"/>
      <c r="E10" s="31"/>
    </row>
    <row r="11" spans="1:12" x14ac:dyDescent="0.35">
      <c r="A11" t="s">
        <v>208</v>
      </c>
      <c r="B11" s="25" t="s">
        <v>45</v>
      </c>
      <c r="C11" s="25">
        <v>1</v>
      </c>
      <c r="E11" s="4"/>
      <c r="L11" s="28"/>
    </row>
    <row r="12" spans="1:12" s="20" customFormat="1" x14ac:dyDescent="0.35">
      <c r="A12" s="20" t="s">
        <v>116</v>
      </c>
      <c r="B12" s="93" t="s">
        <v>117</v>
      </c>
      <c r="C12" s="93"/>
      <c r="E12" s="34"/>
    </row>
    <row r="13" spans="1:12" s="30" customFormat="1" x14ac:dyDescent="0.35">
      <c r="A13" s="30" t="s">
        <v>209</v>
      </c>
      <c r="B13" s="32" t="s">
        <v>210</v>
      </c>
      <c r="C13" s="32"/>
      <c r="E13" s="31"/>
    </row>
    <row r="14" spans="1:12" s="20" customFormat="1" x14ac:dyDescent="0.35">
      <c r="A14" s="20" t="s">
        <v>211</v>
      </c>
      <c r="B14" s="20" t="s">
        <v>212</v>
      </c>
      <c r="E14" s="34"/>
    </row>
    <row r="15" spans="1:12" x14ac:dyDescent="0.35">
      <c r="A15" t="s">
        <v>61</v>
      </c>
      <c r="B15" s="25" t="s">
        <v>213</v>
      </c>
      <c r="C15" s="25">
        <v>1</v>
      </c>
      <c r="E15" s="4"/>
      <c r="L15" s="28"/>
    </row>
    <row r="16" spans="1:12" s="37" customFormat="1" x14ac:dyDescent="0.35">
      <c r="A16" s="37" t="s">
        <v>214</v>
      </c>
      <c r="B16" s="37" t="s">
        <v>215</v>
      </c>
      <c r="E16" s="38"/>
      <c r="L16" s="39"/>
    </row>
    <row r="17" spans="1:12" s="20" customFormat="1" x14ac:dyDescent="0.35">
      <c r="A17" s="20" t="s">
        <v>141</v>
      </c>
      <c r="B17" s="33" t="s">
        <v>140</v>
      </c>
      <c r="E17" s="34"/>
      <c r="L17" s="92"/>
    </row>
    <row r="18" spans="1:12" s="20" customFormat="1" x14ac:dyDescent="0.35">
      <c r="A18" s="20" t="s">
        <v>118</v>
      </c>
      <c r="B18" s="33" t="s">
        <v>119</v>
      </c>
      <c r="E18" s="34"/>
    </row>
    <row r="19" spans="1:12" x14ac:dyDescent="0.35">
      <c r="A19" t="s">
        <v>216</v>
      </c>
      <c r="E19" s="4"/>
    </row>
    <row r="20" spans="1:12" s="20" customFormat="1" x14ac:dyDescent="0.35">
      <c r="A20" s="20" t="s">
        <v>120</v>
      </c>
      <c r="B20" s="20" t="s">
        <v>121</v>
      </c>
      <c r="E20" s="34"/>
    </row>
    <row r="21" spans="1:12" s="20" customFormat="1" x14ac:dyDescent="0.35">
      <c r="E21" s="34"/>
    </row>
    <row r="22" spans="1:12" s="20" customFormat="1" x14ac:dyDescent="0.35">
      <c r="A22" s="20" t="s">
        <v>122</v>
      </c>
      <c r="B22" s="33" t="s">
        <v>123</v>
      </c>
      <c r="E22" s="34"/>
    </row>
    <row r="23" spans="1:12" x14ac:dyDescent="0.35">
      <c r="A23" t="s">
        <v>217</v>
      </c>
      <c r="E23" s="4"/>
    </row>
    <row r="24" spans="1:12" s="20" customFormat="1" x14ac:dyDescent="0.35">
      <c r="A24" s="20" t="s">
        <v>218</v>
      </c>
      <c r="B24" s="33" t="s">
        <v>219</v>
      </c>
      <c r="C24" s="33">
        <v>1</v>
      </c>
    </row>
    <row r="25" spans="1:12" s="30" customFormat="1" x14ac:dyDescent="0.35">
      <c r="A25" s="94" t="s">
        <v>126</v>
      </c>
      <c r="B25" s="90"/>
      <c r="C25" s="90">
        <v>1</v>
      </c>
    </row>
    <row r="26" spans="1:12" x14ac:dyDescent="0.35">
      <c r="A26" s="28" t="s">
        <v>220</v>
      </c>
      <c r="B26" s="25"/>
      <c r="C26" s="25">
        <v>1</v>
      </c>
    </row>
    <row r="27" spans="1:12" x14ac:dyDescent="0.35">
      <c r="A27" s="28" t="s">
        <v>84</v>
      </c>
      <c r="B27" s="25"/>
      <c r="C27" s="25">
        <v>1</v>
      </c>
    </row>
    <row r="28" spans="1:12" x14ac:dyDescent="0.35">
      <c r="A28" s="28" t="s">
        <v>79</v>
      </c>
      <c r="B28" s="25"/>
      <c r="C28" s="25">
        <v>1</v>
      </c>
    </row>
    <row r="29" spans="1:12" x14ac:dyDescent="0.35">
      <c r="A29" s="28" t="s">
        <v>221</v>
      </c>
      <c r="B29" s="25"/>
      <c r="C29" s="25">
        <v>1</v>
      </c>
    </row>
    <row r="30" spans="1:12" x14ac:dyDescent="0.35">
      <c r="A30" s="28" t="s">
        <v>222</v>
      </c>
      <c r="B30" s="25"/>
      <c r="C30" s="25">
        <v>1</v>
      </c>
    </row>
    <row r="31" spans="1:12" s="30" customFormat="1" x14ac:dyDescent="0.35">
      <c r="A31" s="94" t="s">
        <v>223</v>
      </c>
      <c r="B31" s="90"/>
      <c r="C31" s="90">
        <v>1</v>
      </c>
    </row>
    <row r="32" spans="1:12" ht="15.5" x14ac:dyDescent="0.35">
      <c r="A32" s="29" t="s">
        <v>58</v>
      </c>
      <c r="B32" s="26" t="s">
        <v>57</v>
      </c>
      <c r="C32" s="25"/>
    </row>
    <row r="33" spans="1:5" x14ac:dyDescent="0.35">
      <c r="A33" t="s">
        <v>224</v>
      </c>
      <c r="E33" s="4"/>
    </row>
    <row r="34" spans="1:5" x14ac:dyDescent="0.35">
      <c r="A34" t="s">
        <v>225</v>
      </c>
      <c r="E34" s="4"/>
    </row>
    <row r="35" spans="1:5" x14ac:dyDescent="0.35">
      <c r="A35" t="s">
        <v>226</v>
      </c>
      <c r="B35" s="25" t="s">
        <v>227</v>
      </c>
      <c r="E35" s="4"/>
    </row>
    <row r="36" spans="1:5" x14ac:dyDescent="0.35">
      <c r="A36" t="s">
        <v>228</v>
      </c>
      <c r="E36" s="4"/>
    </row>
    <row r="37" spans="1:5" x14ac:dyDescent="0.35">
      <c r="A37" t="s">
        <v>229</v>
      </c>
      <c r="E37" s="4"/>
    </row>
    <row r="38" spans="1:5" x14ac:dyDescent="0.35">
      <c r="A38" t="s">
        <v>230</v>
      </c>
      <c r="E38" s="4"/>
    </row>
    <row r="39" spans="1:5" x14ac:dyDescent="0.35">
      <c r="A39" t="s">
        <v>231</v>
      </c>
      <c r="E39" s="4"/>
    </row>
    <row r="40" spans="1:5" x14ac:dyDescent="0.35">
      <c r="A40" t="s">
        <v>232</v>
      </c>
      <c r="E40" s="4"/>
    </row>
    <row r="41" spans="1:5" x14ac:dyDescent="0.35">
      <c r="A41" t="s">
        <v>233</v>
      </c>
      <c r="B41" t="s">
        <v>234</v>
      </c>
      <c r="E41" s="4"/>
    </row>
    <row r="42" spans="1:5" x14ac:dyDescent="0.35">
      <c r="A42" t="s">
        <v>235</v>
      </c>
      <c r="E42" s="4"/>
    </row>
    <row r="43" spans="1:5" x14ac:dyDescent="0.35">
      <c r="A43" t="s">
        <v>236</v>
      </c>
      <c r="E43" s="4"/>
    </row>
    <row r="44" spans="1:5" x14ac:dyDescent="0.35">
      <c r="A44" t="s">
        <v>237</v>
      </c>
      <c r="E44" s="4"/>
    </row>
    <row r="45" spans="1:5" x14ac:dyDescent="0.35">
      <c r="E45" s="4"/>
    </row>
  </sheetData>
  <hyperlinks>
    <hyperlink ref="B6" r:id="rId1" xr:uid="{5B7B98A9-3335-4150-8EB7-E4BD3C26AE01}"/>
    <hyperlink ref="B3" r:id="rId2" display="mailto:Zoe.Drysdale@akersolutions.com" xr:uid="{14C46545-B3F5-470D-BC83-799ABBBE77A0}"/>
    <hyperlink ref="B7" r:id="rId3" display="mailto:Stig.Botker@alterainfra.com" xr:uid="{5BFA518E-4716-4B0C-B9CB-7AC2FB764A67}"/>
    <hyperlink ref="B9" r:id="rId4" display="mailto:karianne.hartviksen@ecoenergy.no" xr:uid="{BB8C884A-0488-4A28-BBB6-65241A86B880}"/>
    <hyperlink ref="B10" r:id="rId5" display="mailto:Tom.Haylock@sharecat.com" xr:uid="{4AEFF803-B9D4-45D2-B618-C293A09D9AC2}"/>
    <hyperlink ref="B11" r:id="rId6" display="mailto:ottar.kirkeberg@passer.no" xr:uid="{9C883033-072E-43C4-BF8C-BC04DDEBC243}"/>
    <hyperlink ref="B12" r:id="rId7" display="mailto:tallak.bakken@otechos.com" xr:uid="{640E7E99-C886-4461-882B-739FBDC65C95}"/>
    <hyperlink ref="B13" r:id="rId8" tooltip="mailto:anja.bilsbak@clampon.com" display="mailto:Anja.Bilsbak@clampon.com" xr:uid="{6ACC1AD9-F549-4A77-8F72-E319731AD6E6}"/>
    <hyperlink ref="B15" r:id="rId9" xr:uid="{E7854FDC-6CFE-458E-B640-3D8F3C1E4ADB}"/>
    <hyperlink ref="B24" r:id="rId10" xr:uid="{3A7BD491-D5DA-493A-AC27-1BF41F95D1CB}"/>
    <hyperlink ref="B32" r:id="rId11" display="mailto:trine.stolsnes@aize.io" xr:uid="{1ADD0D46-CCF7-4D2C-94BB-84517AC20031}"/>
    <hyperlink ref="B35" r:id="rId12" xr:uid="{F671CA15-6975-4FDA-98AD-28823A4CBCC7}"/>
    <hyperlink ref="B17" r:id="rId13" xr:uid="{FD259D53-0F2F-476C-8A70-04C2C389AE50}"/>
    <hyperlink ref="B18" r:id="rId14" xr:uid="{AD8ED2F5-A957-4E15-B815-CF87125D4177}"/>
    <hyperlink ref="B22" r:id="rId15" xr:uid="{C312857E-F978-4F6C-9BC4-CBD2AFCC942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661C-316D-409C-AFC1-03001E61DAD4}">
  <dimension ref="A1:G24"/>
  <sheetViews>
    <sheetView workbookViewId="0">
      <selection activeCell="C19" sqref="C19"/>
    </sheetView>
  </sheetViews>
  <sheetFormatPr defaultColWidth="8.90625" defaultRowHeight="14.5" x14ac:dyDescent="0.35"/>
  <cols>
    <col min="1" max="1" width="4" customWidth="1"/>
    <col min="2" max="2" width="36.6328125" customWidth="1"/>
    <col min="3" max="3" width="11.36328125" bestFit="1" customWidth="1"/>
    <col min="4" max="4" width="15" bestFit="1" customWidth="1"/>
    <col min="5" max="5" width="19.90625" customWidth="1"/>
    <col min="7" max="7" width="12.453125" bestFit="1" customWidth="1"/>
  </cols>
  <sheetData>
    <row r="1" spans="1:7" x14ac:dyDescent="0.35">
      <c r="A1" t="s">
        <v>0</v>
      </c>
      <c r="B1" s="98" t="s">
        <v>25</v>
      </c>
      <c r="C1" s="99"/>
      <c r="D1" s="99"/>
      <c r="E1" s="99"/>
    </row>
    <row r="2" spans="1:7" x14ac:dyDescent="0.35">
      <c r="B2" s="99" t="s">
        <v>1</v>
      </c>
      <c r="C2" s="99"/>
      <c r="D2" s="109">
        <v>42.71</v>
      </c>
      <c r="E2" s="99">
        <v>3.2109999999999999</v>
      </c>
    </row>
    <row r="3" spans="1:7" x14ac:dyDescent="0.35">
      <c r="A3" s="3"/>
      <c r="B3" s="98" t="s">
        <v>2</v>
      </c>
      <c r="C3" s="100" t="s">
        <v>3</v>
      </c>
      <c r="D3" s="100" t="s">
        <v>4</v>
      </c>
      <c r="E3" s="100" t="s">
        <v>5</v>
      </c>
    </row>
    <row r="4" spans="1:7" x14ac:dyDescent="0.35">
      <c r="A4">
        <f>1+A3</f>
        <v>1</v>
      </c>
      <c r="B4" s="101" t="s">
        <v>6</v>
      </c>
      <c r="C4" s="103">
        <v>95000</v>
      </c>
      <c r="D4" s="104">
        <f>C4/D2</f>
        <v>2224.3034418169045</v>
      </c>
      <c r="E4" s="104">
        <f>C4/E2</f>
        <v>29585.798816568047</v>
      </c>
    </row>
    <row r="5" spans="1:7" x14ac:dyDescent="0.35">
      <c r="A5">
        <f t="shared" ref="A5:A8" si="0">1+A4</f>
        <v>2</v>
      </c>
      <c r="B5" s="102" t="s">
        <v>7</v>
      </c>
      <c r="C5" s="103">
        <v>600000</v>
      </c>
      <c r="D5" s="104">
        <f>C5/D2</f>
        <v>14048.232264106766</v>
      </c>
      <c r="E5" s="104">
        <f>C5/E2</f>
        <v>186857.67673621926</v>
      </c>
    </row>
    <row r="6" spans="1:7" x14ac:dyDescent="0.35">
      <c r="A6">
        <f t="shared" si="0"/>
        <v>3</v>
      </c>
      <c r="B6" s="102" t="s">
        <v>8</v>
      </c>
      <c r="C6" s="103">
        <v>60000</v>
      </c>
      <c r="D6" s="104">
        <f>C6/D2</f>
        <v>1404.8232264106766</v>
      </c>
      <c r="E6" s="104">
        <f>C6/E2</f>
        <v>18685.767673621925</v>
      </c>
    </row>
    <row r="7" spans="1:7" x14ac:dyDescent="0.35">
      <c r="A7">
        <f t="shared" si="0"/>
        <v>4</v>
      </c>
      <c r="B7" s="102" t="s">
        <v>9</v>
      </c>
      <c r="C7" s="103">
        <v>49600</v>
      </c>
      <c r="D7" s="104">
        <f>C7/D2</f>
        <v>1161.320533832826</v>
      </c>
      <c r="E7" s="104">
        <f>C7/E2</f>
        <v>15446.901276860792</v>
      </c>
      <c r="G7" s="35"/>
    </row>
    <row r="8" spans="1:7" x14ac:dyDescent="0.35">
      <c r="A8">
        <f t="shared" si="0"/>
        <v>5</v>
      </c>
      <c r="B8" s="102" t="s">
        <v>10</v>
      </c>
      <c r="C8" s="103">
        <v>34900</v>
      </c>
      <c r="D8" s="104">
        <f>C8/D2</f>
        <v>817.1388433622102</v>
      </c>
      <c r="E8" s="104">
        <f>C8/E2</f>
        <v>10868.88819682342</v>
      </c>
      <c r="G8" s="35"/>
    </row>
    <row r="9" spans="1:7" x14ac:dyDescent="0.35">
      <c r="G9" s="35"/>
    </row>
    <row r="10" spans="1:7" x14ac:dyDescent="0.35">
      <c r="B10" s="102" t="s">
        <v>14</v>
      </c>
      <c r="C10" s="105">
        <f>SUM(C4:C8)</f>
        <v>839500</v>
      </c>
      <c r="D10" s="105">
        <f>SUM(D4:D8)</f>
        <v>19655.818309529383</v>
      </c>
      <c r="E10" s="105">
        <f>SUM(E4:E8)</f>
        <v>261445.03270009343</v>
      </c>
      <c r="G10" s="36">
        <v>300000</v>
      </c>
    </row>
    <row r="11" spans="1:7" x14ac:dyDescent="0.35">
      <c r="C11" s="4"/>
      <c r="D11" s="7"/>
      <c r="E11" s="7"/>
      <c r="G11" s="35"/>
    </row>
    <row r="12" spans="1:7" x14ac:dyDescent="0.35">
      <c r="C12" s="4"/>
      <c r="D12" s="110">
        <v>1</v>
      </c>
      <c r="E12" s="110">
        <v>13.23</v>
      </c>
      <c r="G12" s="35"/>
    </row>
    <row r="13" spans="1:7" x14ac:dyDescent="0.35">
      <c r="C13" s="4"/>
      <c r="D13" s="5"/>
      <c r="E13" s="4"/>
      <c r="G13" s="35"/>
    </row>
    <row r="14" spans="1:7" x14ac:dyDescent="0.35">
      <c r="A14" t="s">
        <v>21</v>
      </c>
      <c r="B14" s="3" t="s">
        <v>26</v>
      </c>
      <c r="C14" s="4"/>
      <c r="D14" s="4" t="s">
        <v>4</v>
      </c>
      <c r="E14" s="2" t="s">
        <v>5</v>
      </c>
      <c r="G14" s="35"/>
    </row>
    <row r="15" spans="1:7" x14ac:dyDescent="0.35">
      <c r="B15" t="s">
        <v>27</v>
      </c>
      <c r="C15" s="106"/>
      <c r="D15" s="106">
        <f>90*750</f>
        <v>67500</v>
      </c>
      <c r="E15" s="7">
        <f>D15*E12</f>
        <v>893025</v>
      </c>
      <c r="G15" s="36">
        <v>900000</v>
      </c>
    </row>
    <row r="16" spans="1:7" x14ac:dyDescent="0.35">
      <c r="C16" s="4"/>
      <c r="D16" s="4"/>
      <c r="E16" s="4"/>
      <c r="G16" s="35"/>
    </row>
    <row r="17" spans="1:7" x14ac:dyDescent="0.35">
      <c r="B17" t="s">
        <v>23</v>
      </c>
      <c r="C17" s="4"/>
      <c r="D17" s="107">
        <f>D10+D15</f>
        <v>87155.818309529379</v>
      </c>
      <c r="E17" s="107">
        <f>E10+E15</f>
        <v>1154470.0327000935</v>
      </c>
      <c r="G17" s="35"/>
    </row>
    <row r="18" spans="1:7" x14ac:dyDescent="0.35">
      <c r="C18" s="4"/>
      <c r="D18" s="4"/>
      <c r="E18" s="4"/>
      <c r="G18" s="35"/>
    </row>
    <row r="19" spans="1:7" x14ac:dyDescent="0.35">
      <c r="A19" t="s">
        <v>24</v>
      </c>
      <c r="B19" s="6" t="s">
        <v>28</v>
      </c>
      <c r="C19" s="4"/>
      <c r="D19" s="108">
        <f>1130*D12</f>
        <v>1130</v>
      </c>
      <c r="E19" s="108">
        <f>1130*E12</f>
        <v>14949.9</v>
      </c>
      <c r="G19" s="35"/>
    </row>
    <row r="20" spans="1:7" x14ac:dyDescent="0.35">
      <c r="G20" s="35"/>
    </row>
    <row r="21" spans="1:7" x14ac:dyDescent="0.35">
      <c r="G21" s="36">
        <v>600000</v>
      </c>
    </row>
    <row r="22" spans="1:7" x14ac:dyDescent="0.35">
      <c r="G22" s="35"/>
    </row>
    <row r="23" spans="1:7" x14ac:dyDescent="0.35">
      <c r="G23" s="35"/>
    </row>
    <row r="24" spans="1:7" x14ac:dyDescent="0.35">
      <c r="G24" s="36">
        <f>SUM(G4:G23)</f>
        <v>1800000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abf36b-d2ff-45eb-9ebd-9de7335ef8bb">
      <Terms xmlns="http://schemas.microsoft.com/office/infopath/2007/PartnerControls"/>
    </lcf76f155ced4ddcb4097134ff3c332f>
    <TaxCatchAll xmlns="2ecad993-30d3-4beb-89c9-ad5a1005d5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A5BC288C4DF0419C6CF8F1012D15B6" ma:contentTypeVersion="16" ma:contentTypeDescription="Opprett et nytt dokument." ma:contentTypeScope="" ma:versionID="775b90486585c8be49f097d74e638594">
  <xsd:schema xmlns:xsd="http://www.w3.org/2001/XMLSchema" xmlns:xs="http://www.w3.org/2001/XMLSchema" xmlns:p="http://schemas.microsoft.com/office/2006/metadata/properties" xmlns:ns2="36abf36b-d2ff-45eb-9ebd-9de7335ef8bb" xmlns:ns3="2ecad993-30d3-4beb-89c9-ad5a1005d5a5" targetNamespace="http://schemas.microsoft.com/office/2006/metadata/properties" ma:root="true" ma:fieldsID="2cad946fea55db9836b6c6ef6a09ab8b" ns2:_="" ns3:_="">
    <xsd:import namespace="36abf36b-d2ff-45eb-9ebd-9de7335ef8bb"/>
    <xsd:import namespace="2ecad993-30d3-4beb-89c9-ad5a1005d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bf36b-d2ff-45eb-9ebd-9de7335ef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03918563-c33c-4c1d-9189-b9eee4bdb2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cad993-30d3-4beb-89c9-ad5a1005d5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ee534ae-ded8-4272-a090-1540011b1adf}" ma:internalName="TaxCatchAll" ma:showField="CatchAllData" ma:web="2ecad993-30d3-4beb-89c9-ad5a1005d5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54F96-6647-4889-8F6D-B2CF8188DC97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2ecad993-30d3-4beb-89c9-ad5a1005d5a5"/>
    <ds:schemaRef ds:uri="http://www.w3.org/XML/1998/namespace"/>
    <ds:schemaRef ds:uri="36abf36b-d2ff-45eb-9ebd-9de7335ef8bb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267FD21-7C3A-4650-9CD0-4E1094E1D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bf36b-d2ff-45eb-9ebd-9de7335ef8bb"/>
    <ds:schemaRef ds:uri="2ecad993-30d3-4beb-89c9-ad5a1005d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719D65-BCD8-4B1F-B334-CB0D4A3849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Pico Quotation</vt:lpstr>
      <vt:lpstr>Budget</vt:lpstr>
      <vt:lpstr>Companies Pitched</vt:lpstr>
      <vt:lpstr>Milano ActualBDG</vt:lpstr>
      <vt:lpstr>Ark1</vt:lpstr>
      <vt:lpstr>Cost Milano </vt:lpstr>
      <vt:lpstr>Company Long List </vt:lpstr>
      <vt:lpstr>Option 1_90 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 Tien Le</dc:creator>
  <cp:keywords/>
  <dc:description/>
  <cp:lastModifiedBy>Dat Tuan Nguyen</cp:lastModifiedBy>
  <cp:revision/>
  <dcterms:created xsi:type="dcterms:W3CDTF">2025-10-31T01:46:36Z</dcterms:created>
  <dcterms:modified xsi:type="dcterms:W3CDTF">2026-03-06T09:18:51Z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ba7332-1be0-430e-aa19-ed0aa2128bff_Enabled">
    <vt:lpwstr>true</vt:lpwstr>
  </property>
  <property fmtid="{D5CDD505-2E9C-101B-9397-08002B2CF9AE}" pid="3" name="MSIP_Label_bcba7332-1be0-430e-aa19-ed0aa2128bff_SetDate">
    <vt:lpwstr>2025-10-31T03:04:23Z</vt:lpwstr>
  </property>
  <property fmtid="{D5CDD505-2E9C-101B-9397-08002B2CF9AE}" pid="4" name="MSIP_Label_bcba7332-1be0-430e-aa19-ed0aa2128bff_Method">
    <vt:lpwstr>Standard</vt:lpwstr>
  </property>
  <property fmtid="{D5CDD505-2E9C-101B-9397-08002B2CF9AE}" pid="5" name="MSIP_Label_bcba7332-1be0-430e-aa19-ed0aa2128bff_Name">
    <vt:lpwstr>Internal</vt:lpwstr>
  </property>
  <property fmtid="{D5CDD505-2E9C-101B-9397-08002B2CF9AE}" pid="6" name="MSIP_Label_bcba7332-1be0-430e-aa19-ed0aa2128bff_SiteId">
    <vt:lpwstr>c39d49f7-9eed-4307-b032-bb28f3cf9d79</vt:lpwstr>
  </property>
  <property fmtid="{D5CDD505-2E9C-101B-9397-08002B2CF9AE}" pid="7" name="MSIP_Label_bcba7332-1be0-430e-aa19-ed0aa2128bff_ActionId">
    <vt:lpwstr>2e8841de-5bef-4b62-8496-a740c53f9fe0</vt:lpwstr>
  </property>
  <property fmtid="{D5CDD505-2E9C-101B-9397-08002B2CF9AE}" pid="8" name="MSIP_Label_bcba7332-1be0-430e-aa19-ed0aa2128bff_ContentBits">
    <vt:lpwstr>0</vt:lpwstr>
  </property>
  <property fmtid="{D5CDD505-2E9C-101B-9397-08002B2CF9AE}" pid="9" name="MSIP_Label_bcba7332-1be0-430e-aa19-ed0aa2128bff_Tag">
    <vt:lpwstr>10, 3, 0, 1</vt:lpwstr>
  </property>
  <property fmtid="{D5CDD505-2E9C-101B-9397-08002B2CF9AE}" pid="10" name="ContentTypeId">
    <vt:lpwstr>0x010100CBA5BC288C4DF0419C6CF8F1012D15B6</vt:lpwstr>
  </property>
  <property fmtid="{D5CDD505-2E9C-101B-9397-08002B2CF9AE}" pid="11" name="MediaServiceImageTags">
    <vt:lpwstr/>
  </property>
</Properties>
</file>